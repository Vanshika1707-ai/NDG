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itesh old laptop d drive\hitesh jain\d\old com data\d\MY DOCUMENTS\PROJECT LIST\AMAZING MEDIA\SALES REPORT 2026-2027\1ST QUARTER\"/>
    </mc:Choice>
  </mc:AlternateContent>
  <bookViews>
    <workbookView xWindow="0" yWindow="0" windowWidth="19200" windowHeight="7190"/>
  </bookViews>
  <sheets>
    <sheet name="Q1 Summary" sheetId="1" r:id="rId1"/>
    <sheet name="Customerwise Sales" sheetId="4" r:id="rId2"/>
    <sheet name="Planning" sheetId="3" r:id="rId3"/>
  </sheets>
  <definedNames>
    <definedName name="_xlnm._FilterDatabase" localSheetId="1" hidden="1">'Customerwise Sales'!$A$1:$F$1</definedName>
  </definedNames>
  <calcPr calcId="152511"/>
</workbook>
</file>

<file path=xl/calcChain.xml><?xml version="1.0" encoding="utf-8"?>
<calcChain xmlns="http://schemas.openxmlformats.org/spreadsheetml/2006/main">
  <c r="E6" i="1" l="1"/>
  <c r="F125" i="4" l="1"/>
  <c r="F85" i="4"/>
  <c r="F57" i="4"/>
  <c r="F103" i="4"/>
  <c r="F21" i="4"/>
  <c r="F134" i="4"/>
  <c r="F22" i="4"/>
  <c r="F117" i="4"/>
  <c r="F68" i="4"/>
  <c r="F132" i="4"/>
  <c r="F33" i="4"/>
  <c r="F104" i="4"/>
  <c r="F88" i="4"/>
  <c r="F69" i="4"/>
  <c r="F44" i="4"/>
  <c r="F49" i="4"/>
  <c r="F109" i="4"/>
  <c r="F34" i="4"/>
  <c r="F83" i="4"/>
  <c r="F90" i="4"/>
  <c r="F74" i="4"/>
  <c r="F32" i="4"/>
  <c r="F119" i="4"/>
  <c r="F106" i="4"/>
  <c r="F55" i="4"/>
  <c r="F99" i="4"/>
  <c r="F121" i="4"/>
  <c r="F3" i="4"/>
  <c r="F86" i="4"/>
  <c r="F14" i="4"/>
  <c r="F127" i="4"/>
  <c r="F29" i="4"/>
  <c r="F12" i="4"/>
  <c r="F78" i="4"/>
  <c r="F62" i="4"/>
  <c r="F47" i="4"/>
  <c r="F19" i="4"/>
  <c r="F60" i="4"/>
  <c r="F123" i="4"/>
  <c r="F112" i="4"/>
  <c r="F120" i="4"/>
  <c r="F28" i="4"/>
  <c r="F17" i="4"/>
  <c r="F115" i="4"/>
  <c r="F7" i="4"/>
  <c r="F122" i="4"/>
  <c r="F75" i="4"/>
  <c r="F39" i="4"/>
  <c r="F8" i="4"/>
  <c r="F89" i="4"/>
  <c r="F52" i="4"/>
  <c r="F11" i="4"/>
  <c r="F108" i="4"/>
  <c r="F27" i="4"/>
  <c r="F94" i="4"/>
  <c r="F128" i="4"/>
  <c r="F24" i="4"/>
  <c r="F96" i="4"/>
  <c r="F16" i="4"/>
  <c r="F65" i="4"/>
  <c r="F130" i="4"/>
  <c r="F30" i="4"/>
  <c r="F38" i="4"/>
  <c r="F43" i="4"/>
  <c r="F77" i="4"/>
  <c r="F53" i="4"/>
  <c r="F5" i="4"/>
  <c r="F25" i="4"/>
  <c r="F63" i="4"/>
  <c r="F35" i="4"/>
  <c r="F26" i="4"/>
  <c r="F15" i="4"/>
  <c r="F91" i="4"/>
  <c r="F58" i="4"/>
  <c r="F110" i="4"/>
  <c r="F31" i="4"/>
  <c r="F126" i="4"/>
  <c r="F41" i="4"/>
  <c r="F45" i="4"/>
  <c r="F97" i="4"/>
  <c r="F66" i="4"/>
  <c r="F107" i="4"/>
  <c r="F13" i="4"/>
  <c r="F92" i="4"/>
  <c r="F59" i="4"/>
  <c r="F51" i="4"/>
  <c r="F100" i="4"/>
  <c r="F20" i="4"/>
  <c r="F87" i="4"/>
  <c r="F95" i="4"/>
  <c r="F105" i="4"/>
  <c r="F113" i="4"/>
  <c r="F124" i="4"/>
  <c r="F81" i="4"/>
  <c r="F37" i="4"/>
  <c r="F48" i="4"/>
  <c r="F70" i="4"/>
  <c r="F61" i="4"/>
  <c r="F10" i="4"/>
  <c r="F93" i="4"/>
  <c r="F129" i="4"/>
  <c r="F71" i="4"/>
  <c r="F67" i="4"/>
  <c r="F4" i="4"/>
  <c r="F111" i="4"/>
  <c r="F72" i="4"/>
  <c r="F9" i="4"/>
  <c r="F40" i="4"/>
  <c r="F98" i="4"/>
  <c r="F73" i="4"/>
  <c r="F79" i="4"/>
  <c r="F114" i="4"/>
  <c r="F82" i="4"/>
  <c r="F46" i="4"/>
  <c r="F36" i="4"/>
  <c r="F42" i="4"/>
  <c r="F6" i="4"/>
  <c r="F133" i="4"/>
  <c r="F101" i="4"/>
  <c r="F84" i="4"/>
  <c r="F23" i="4"/>
  <c r="F18" i="4"/>
  <c r="F50" i="4"/>
  <c r="F102" i="4"/>
  <c r="F64" i="4"/>
  <c r="F131" i="4"/>
  <c r="F54" i="4"/>
  <c r="F118" i="4"/>
  <c r="F80" i="4"/>
  <c r="F76" i="4"/>
  <c r="F116" i="4"/>
  <c r="F2" i="4"/>
  <c r="F56" i="4"/>
  <c r="E22" i="1" l="1"/>
  <c r="E18" i="1"/>
  <c r="E8" i="1" l="1"/>
  <c r="D12" i="1"/>
  <c r="B12" i="1"/>
  <c r="E13" i="1"/>
  <c r="E17" i="1" l="1"/>
  <c r="E16" i="1"/>
  <c r="E19" i="1" s="1"/>
  <c r="E5" i="1"/>
  <c r="E7" i="1"/>
  <c r="E4" i="1"/>
  <c r="E12" i="1"/>
  <c r="E9" i="1"/>
  <c r="E11" i="1"/>
  <c r="E10" i="1"/>
</calcChain>
</file>

<file path=xl/sharedStrings.xml><?xml version="1.0" encoding="utf-8"?>
<sst xmlns="http://schemas.openxmlformats.org/spreadsheetml/2006/main" count="190" uniqueCount="189">
  <si>
    <t>Product / Category</t>
  </si>
  <si>
    <t>Apr'26</t>
  </si>
  <si>
    <t>May'26</t>
  </si>
  <si>
    <t>Jun'26</t>
  </si>
  <si>
    <t>Q1 Total</t>
  </si>
  <si>
    <t>Total Customers Billed</t>
  </si>
  <si>
    <t>Collection (Rs.)</t>
  </si>
  <si>
    <t>Sales Planning Sheet</t>
  </si>
  <si>
    <t>Product</t>
  </si>
  <si>
    <t>Aug'26</t>
  </si>
  <si>
    <t>Sep'26</t>
  </si>
  <si>
    <t>Q2</t>
  </si>
  <si>
    <t>Q3</t>
  </si>
  <si>
    <t>Q4</t>
  </si>
  <si>
    <t>QTR 1</t>
  </si>
  <si>
    <t xml:space="preserve"> Target</t>
  </si>
  <si>
    <t xml:space="preserve"> Jul'26</t>
  </si>
  <si>
    <t>April fine (Board)</t>
  </si>
  <si>
    <t>April fine (Paper )</t>
  </si>
  <si>
    <t>ART PAPER</t>
  </si>
  <si>
    <t>ARTICA (Board)</t>
  </si>
  <si>
    <t>Artica Intense Black</t>
  </si>
  <si>
    <t>ARTICA (Paper)</t>
  </si>
  <si>
    <t>Century  (Board)</t>
  </si>
  <si>
    <t>Century  (Paper)</t>
  </si>
  <si>
    <t>FLEXBOARD</t>
  </si>
  <si>
    <t>Polyplex</t>
  </si>
  <si>
    <t>Cosmo</t>
  </si>
  <si>
    <t xml:space="preserve">HB Fuller </t>
  </si>
  <si>
    <t xml:space="preserve">Write remaining </t>
  </si>
  <si>
    <t>Total Value Sale (Amount)</t>
  </si>
  <si>
    <t>Overdue %age of total due as on 30th June, 2026</t>
  </si>
  <si>
    <t>New Customer Billed in Numbers</t>
  </si>
  <si>
    <t>New Customer Billed in Value</t>
  </si>
  <si>
    <t>Total Customer Met</t>
  </si>
  <si>
    <t>Average Debtor</t>
  </si>
  <si>
    <t>Average Debtor Days (Avereage Debtor/Net sales*90)</t>
  </si>
  <si>
    <t>Overdue Payment as on 30th June 2026 for more than 15 Days</t>
  </si>
  <si>
    <t>Total Due as on 30th June 2026</t>
  </si>
  <si>
    <t>Client Name</t>
  </si>
  <si>
    <t>Apr</t>
  </si>
  <si>
    <t>May</t>
  </si>
  <si>
    <t>Jun</t>
  </si>
  <si>
    <t>Grand Total</t>
  </si>
  <si>
    <t>Percentage
Contribution
in sale</t>
  </si>
  <si>
    <t>Ajay Rawat Template - Business at a Glance (Quarter 1)</t>
  </si>
  <si>
    <t xml:space="preserve">Adhesive </t>
  </si>
  <si>
    <t>ABHAY PAPER CORPORATION PROP.NEELAM SINGHAL</t>
  </si>
  <si>
    <t>ADITI PRINT-O-FAST (TRONICA CITY)</t>
  </si>
  <si>
    <t>ADITYA COPIER PROP.ADITYA SHARMA</t>
  </si>
  <si>
    <t>ADWAIT ENTERPRISES PROP ROSHIT VIG</t>
  </si>
  <si>
    <t xml:space="preserve">AGGARWAL STATIONERY MART PROP PRADEEP AGGARWAL_x000D_
_x000D_
</t>
  </si>
  <si>
    <t>AGGARWAL TRADING COMPANY</t>
  </si>
  <si>
    <t>AJAY RAWAT</t>
  </si>
  <si>
    <t>AKASH PRESS PROP.ASHWINI SACHDEVA</t>
  </si>
  <si>
    <t>AKHIL PAPER MART</t>
  </si>
  <si>
    <t>ALOK AGENCIES</t>
  </si>
  <si>
    <t>ANIL PAPER COMPANY</t>
  </si>
  <si>
    <t>ANSHUL ENTERPRISES PROP ANSHUL KUMAR BANSAL</t>
  </si>
  <si>
    <t>ARUN OVERSEAS</t>
  </si>
  <si>
    <t>ARUN THESIS</t>
  </si>
  <si>
    <t>B I ENTERPRISES PROP RAJ KUMAR BHARGAVA</t>
  </si>
  <si>
    <t>B JAIN PUBLISHERS PVT LTD</t>
  </si>
  <si>
    <t>BAJAJ COPY HOUSE</t>
  </si>
  <si>
    <t>BAJAJ STATIONERY MART PROP ISHAN BAJAJ</t>
  </si>
  <si>
    <t>BANSAL AND CO PROP.AKHILESH KUMAR BANSAL</t>
  </si>
  <si>
    <t>BANSAL STATIONERS PROP. TILAK CHAND BANSAL</t>
  </si>
  <si>
    <t>BHAGWATI PAPER MART</t>
  </si>
  <si>
    <t>BHARAT &amp; CO. PROP. RAJ KUMAR</t>
  </si>
  <si>
    <t>BHARDWAJ PAPER EMPIRE PROP.NITIN BHARDWAJ</t>
  </si>
  <si>
    <t>BHATIA BROS</t>
  </si>
  <si>
    <t>BHATIA TRADERS</t>
  </si>
  <si>
    <t>CHANDAN PAPER AND CARDS</t>
  </si>
  <si>
    <t>CHANDRA AGENCIES PROP ASHISH CHANDRA GUPTA</t>
  </si>
  <si>
    <t>DEEP TRADERS PROP JITENDER ANAND</t>
  </si>
  <si>
    <t>DEEPAK COMPUTER OFFSET</t>
  </si>
  <si>
    <t>DEEPTEE PAPER MART (AGGARWAL MARKET )</t>
  </si>
  <si>
    <t>DES RAJ CHANAN LAL</t>
  </si>
  <si>
    <t>DHOOMI MAL VISHAL CHAND</t>
  </si>
  <si>
    <t>DIVINE PAPERS</t>
  </si>
  <si>
    <t>DSIRE TECHNOLOGIES SOLUTIONS PRIVATE LIMITED</t>
  </si>
  <si>
    <t>EAST DELHI STATIONERY MART PROP NEERAJ GROVER</t>
  </si>
  <si>
    <t>EASTERN PRINTERS</t>
  </si>
  <si>
    <t>ELECTRO SYSTEMS</t>
  </si>
  <si>
    <t>EMZED ENTERPRISES</t>
  </si>
  <si>
    <t>ESKAY ADVERTISER &amp; TRADER</t>
  </si>
  <si>
    <t>ESKAY VENTURES</t>
  </si>
  <si>
    <t>FRIENDS BUSINESS CENTER (NOIDA)</t>
  </si>
  <si>
    <t>FRIENDS BUSINESS CENTER. (DELHI)</t>
  </si>
  <si>
    <t>G AND G GLOBAL</t>
  </si>
  <si>
    <t>G. M. OVERSEAS PROP.AJAY SETHI</t>
  </si>
  <si>
    <t>GANESH PAPER MART PROP.SANJEEV AGGARWAL</t>
  </si>
  <si>
    <t>GANESH PAPERS PROP. ARUL JAIN</t>
  </si>
  <si>
    <t xml:space="preserve">GAURAV PAPER PROP.GAURAV SETHI_x000D_
_x000D_
</t>
  </si>
  <si>
    <t>GAURVI PAPERS .PROP RISHABH JAIN</t>
  </si>
  <si>
    <t>GENERAL PAPER COMPANY PROP.RAHUL JAIN</t>
  </si>
  <si>
    <t>GLOB CRAFTS PROP VIPIN KUMAR</t>
  </si>
  <si>
    <t>GLORIOUS PRINTER</t>
  </si>
  <si>
    <t>GOEL PAPER MART PROP.NEHA GOEL</t>
  </si>
  <si>
    <t>GUPTA STATIONERS</t>
  </si>
  <si>
    <t>HARI HAR PRESS</t>
  </si>
  <si>
    <t xml:space="preserve">HEMANT TRADERS PROP.HEMANT GUPTA_x000D_
_x000D_
</t>
  </si>
  <si>
    <t>HIND PUSTAK BHANDAR</t>
  </si>
  <si>
    <t>IB MONOTARO PRIVATE LIMITED</t>
  </si>
  <si>
    <t>IVORY PAPER TRADERS</t>
  </si>
  <si>
    <t>J P TRADING CO PROP.ANSHUL JAIN</t>
  </si>
  <si>
    <t>J.K. TRADERS &amp; PAPERS PROP. JITENDER ANEJA</t>
  </si>
  <si>
    <t>JAIN STATIONERY MART PROP ARUN JAIN</t>
  </si>
  <si>
    <t>JAY PEE STAINLESS PVT. LTD.</t>
  </si>
  <si>
    <t>KAGAZ GHAR PROP.RAJAT SURI</t>
  </si>
  <si>
    <t>KAILASH GRAPHICS PROP.VAIBHAV AGARWAL</t>
  </si>
  <si>
    <t>KANHA PRINT PACK PVT. LTD.</t>
  </si>
  <si>
    <t>KARTIK COMPUTER &amp; STATIONERS PROP VIJAY KUMAR BAJAJ</t>
  </si>
  <si>
    <t>KHANDELWAL BROS PROP SURENDRA SONKHIYA</t>
  </si>
  <si>
    <t>KOHLI PAPER IMPEX</t>
  </si>
  <si>
    <t>LEDGER GRAPHICS</t>
  </si>
  <si>
    <t>LITTLE SCHOLARZ PVT.LTD.</t>
  </si>
  <si>
    <t>M F S PAPER PRODUCTS PROP.MIRAJUDDIN</t>
  </si>
  <si>
    <t>MAANIT PAPER &amp; CARDS.</t>
  </si>
  <si>
    <t>MAHADEV PAPERS PROP. SACHIN GOYAL</t>
  </si>
  <si>
    <t>MAHAJAN PAPER CO. PROP. NEERAJ MAHAJAN</t>
  </si>
  <si>
    <t>MAHAYANA PRESS</t>
  </si>
  <si>
    <t>MANOJ PAPER MART PROP.MANOJ KUMAR KOHLI</t>
  </si>
  <si>
    <t>MEENAKSHI PAPER CONVERTERS PROP. AAKASH BATRA</t>
  </si>
  <si>
    <t>MITTAL PRINTERS PROP.PANKAJ MITTAL</t>
  </si>
  <si>
    <t>MITTAL PUBLICATION</t>
  </si>
  <si>
    <t>NATIONAL TRADERS PROP NITIN PURI</t>
  </si>
  <si>
    <t>NAV DURGA PAPER PROP.PRADEEP KUMAR AGARWAL</t>
  </si>
  <si>
    <t>NEW HARYANA TRADERS PROP.NARENDER BHATIA</t>
  </si>
  <si>
    <t>NIRMAL AGENCIES PROP.SANTOSH KUMAR JAIN</t>
  </si>
  <si>
    <t>PAKHI ENTERPRISES PROP MUKESH KUMAR JAIN</t>
  </si>
  <si>
    <t>PAPER ART PRODUCTS</t>
  </si>
  <si>
    <t>PARAS PAPER AGENCY PROP.MANISH JAIN</t>
  </si>
  <si>
    <t>PAWAN PAPER CO. PROP. PAWAN KUMAR</t>
  </si>
  <si>
    <t>PRABHU JI PAPERS PROP.JAI KISHAN BHARDWAJ</t>
  </si>
  <si>
    <t>PRINTZNMORE PROP.MUKUL THAKUR</t>
  </si>
  <si>
    <t>PRIORITY PUBLICATIONS</t>
  </si>
  <si>
    <t>RAJ KAMAL CIRCUITS INDIA PROP.HANUMAN PRASAD</t>
  </si>
  <si>
    <t>RAJ TRDG CO PROP.RAJ RANI</t>
  </si>
  <si>
    <t>RATAN LAL MOHAN LAL</t>
  </si>
  <si>
    <t>REGAL ENTERPRISES . PROP SANJAY KHOSLA</t>
  </si>
  <si>
    <t>RENU ENTERPRISES PROP. PRADEEP GUPTA</t>
  </si>
  <si>
    <t>ROYAL COLOUR LAB PROP HARI OM BEDI</t>
  </si>
  <si>
    <t>S &amp; S PAPER INDUSTRIES PROP.RAJESH KUMAR</t>
  </si>
  <si>
    <t>S.J. TRADERS PROP. SAMARJEET SINGH</t>
  </si>
  <si>
    <t>S.K. TRADERS PROP. SURESH CHAND GUPTA</t>
  </si>
  <si>
    <t>SACHIN SALES CORPORATION  PROP. LAKSHAY SURI</t>
  </si>
  <si>
    <t>SAHIBA ENTERPRISES PROP KISHAN SINGH</t>
  </si>
  <si>
    <t>SATGURU TRADERS PROP.GULSHAN JAWA</t>
  </si>
  <si>
    <t>SATIJA PAPER PROP.PRANAV SATIJA</t>
  </si>
  <si>
    <t>SHAKTI TRADERS PROP.PRATIMA DUGGAL</t>
  </si>
  <si>
    <t>SHIVA PAPER COMPANY PROP VIJAY KUMAR GUPTA</t>
  </si>
  <si>
    <t>SHOBHIT AGENCIES</t>
  </si>
  <si>
    <t xml:space="preserve">SHREE ENTERPRISES PROP.ADITYA MITTAL_x000D_
_x000D_
</t>
  </si>
  <si>
    <t>SHREE JI PAPER PRODUCTS PROP.BHOLE SHANKAR</t>
  </si>
  <si>
    <t>SHREE SALASAR KRIPA PAPER PRIVATE LIMITED</t>
  </si>
  <si>
    <t>SHRI BALAJI ADVERTISING CO. PROP RITESH GOEL</t>
  </si>
  <si>
    <t>SHRI KRISHNA PAPER MART PROP.VINEET AGGARWAL</t>
  </si>
  <si>
    <t>SHRI MAHALAXMI STATIONERY MART PROP PURAN CHAND AGGARAWAL</t>
  </si>
  <si>
    <t>SHRI RAM IMPEX PROP. ASHISH ARORA</t>
  </si>
  <si>
    <t>SHRI SHANTI NATH PAPER COMPANY PROP: DINESH JAIN</t>
  </si>
  <si>
    <t>SHRI SHRI TRADERS PROP. SAMEER MONGA</t>
  </si>
  <si>
    <t>SHRIRAM ENTERPRISES PROP. AMIT ARORA</t>
  </si>
  <si>
    <t>SOHAN LAL NEM CHAND (NOIDA )</t>
  </si>
  <si>
    <t>STAR PAPER SALES</t>
  </si>
  <si>
    <t>SUNEJA  SONS</t>
  </si>
  <si>
    <t>SUPER PAPER PRODUCTS</t>
  </si>
  <si>
    <t xml:space="preserve">SURAJ PAPER PROP.RAM BABU GARG_x000D_
_x000D_
</t>
  </si>
  <si>
    <t xml:space="preserve">TARIQ EXPORTS PROP.TARIQ HUSSAIN_x000D_
_x000D_
</t>
  </si>
  <si>
    <t>TRISING PAPERS PVT. LTD.(NOIDA)</t>
  </si>
  <si>
    <t>UJJWAL PAPERS PROP SUMIT WADHWA</t>
  </si>
  <si>
    <t>UNIVERSAL TRADERS PROP. ANUP KUMAR AGARWAL</t>
  </si>
  <si>
    <t>V9 LEGENDS</t>
  </si>
  <si>
    <t>VARUN OVERSEAS</t>
  </si>
  <si>
    <t>VEE ENN PRINT O PAC PROP.NITIN GULATI</t>
  </si>
  <si>
    <t>VEE KAY PAPERS PROP.VIRENDER KUMAR JAIN</t>
  </si>
  <si>
    <t>VIBA PRESS PVT LTD</t>
  </si>
  <si>
    <t>VIKAS TRADERS PROP.SATYA PAUL MARWHA</t>
  </si>
  <si>
    <t>VRINDA PAPERS PRIVATE LIMITED</t>
  </si>
  <si>
    <t>ZAHENVI ENTERPRISES PROP BHUPENDER CHAWLA (U.P)</t>
  </si>
  <si>
    <t>April fine (Board)/Paper and Board  (Kgs)</t>
  </si>
  <si>
    <t>April fine (Paper)/Paper and Board  (Kgs)</t>
  </si>
  <si>
    <t>BOYER/Paper and Board  (Kgs)</t>
  </si>
  <si>
    <t>CPP/ Paper and Board(Kgs)</t>
  </si>
  <si>
    <t>PUD (Paper)(Kgs)</t>
  </si>
  <si>
    <t>Sara Lam / Amazing Media (Kgs)</t>
  </si>
  <si>
    <t>Sara Print / Amazing Media (Sheet)</t>
  </si>
  <si>
    <t>Cosmo / Amazing Media (Sheet)</t>
  </si>
  <si>
    <t>Artica (Kgs)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</si>
</sst>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3" fillId="0" borderId="0" xfId="0" applyFont="1"/>
    <xf numFmtId="0" fontId="0" fillId="0" borderId="0" xfId="0"/>
    <xf numFmtId="0" fontId="0" fillId="0" borderId="2" xfId="0" applyBorder="1"/>
    <xf numFmtId="0" fontId="2" fillId="2" borderId="2" xfId="0" applyFont="1" applyFill="1" applyBorder="1" applyAlignment="1">
      <alignment horizontal="center"/>
    </xf>
    <xf numFmtId="0" fontId="8" fillId="0" borderId="2" xfId="0" applyFont="1" applyBorder="1"/>
    <xf numFmtId="43" fontId="0" fillId="0" borderId="2" xfId="1" applyFont="1" applyBorder="1"/>
    <xf numFmtId="43" fontId="6" fillId="0" borderId="2" xfId="1" applyFont="1" applyBorder="1"/>
    <xf numFmtId="43" fontId="6" fillId="0" borderId="2" xfId="1" applyFont="1" applyBorder="1" applyAlignment="1">
      <alignment vertical="center"/>
    </xf>
    <xf numFmtId="0" fontId="0" fillId="3" borderId="2" xfId="0" applyFill="1" applyBorder="1"/>
    <xf numFmtId="43" fontId="0" fillId="3" borderId="2" xfId="1" applyFont="1" applyFill="1" applyBorder="1"/>
    <xf numFmtId="43" fontId="6" fillId="3" borderId="2" xfId="1" applyFont="1" applyFill="1" applyBorder="1"/>
    <xf numFmtId="10" fontId="6" fillId="3" borderId="2" xfId="2" applyNumberFormat="1" applyFont="1" applyFill="1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/>
    <xf numFmtId="0" fontId="6" fillId="4" borderId="2" xfId="0" applyFont="1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NumberFormat="1" applyBorder="1" applyAlignment="1">
      <alignment vertical="center"/>
    </xf>
    <xf numFmtId="0" fontId="6" fillId="4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10" fontId="0" fillId="0" borderId="2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/>
    <xf numFmtId="43" fontId="6" fillId="4" borderId="2" xfId="1" applyFont="1" applyFill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sqref="A1:E1"/>
    </sheetView>
  </sheetViews>
  <sheetFormatPr defaultRowHeight="18.5" customHeight="1" x14ac:dyDescent="0.35"/>
  <cols>
    <col min="1" max="1" width="52.54296875" customWidth="1"/>
    <col min="2" max="3" width="14.08984375" customWidth="1"/>
    <col min="4" max="4" width="14.08984375" bestFit="1" customWidth="1"/>
    <col min="5" max="5" width="15.6328125" customWidth="1"/>
  </cols>
  <sheetData>
    <row r="1" spans="1:5" s="16" customFormat="1" ht="26.4" customHeight="1" x14ac:dyDescent="0.35">
      <c r="A1" s="29" t="s">
        <v>45</v>
      </c>
      <c r="B1" s="30"/>
      <c r="C1" s="30"/>
      <c r="D1" s="30"/>
      <c r="E1" s="30"/>
    </row>
    <row r="2" spans="1:5" ht="10.25" customHeight="1" x14ac:dyDescent="0.35">
      <c r="A2" s="6"/>
      <c r="B2" s="6"/>
      <c r="C2" s="6"/>
      <c r="D2" s="6"/>
      <c r="E2" s="6"/>
    </row>
    <row r="3" spans="1:5" ht="18.5" customHeight="1" x14ac:dyDescent="0.3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</row>
    <row r="4" spans="1:5" ht="18.5" customHeight="1" x14ac:dyDescent="0.35">
      <c r="A4" s="8" t="s">
        <v>180</v>
      </c>
      <c r="B4" s="9">
        <v>44878.050000000017</v>
      </c>
      <c r="C4" s="9">
        <v>57856.460000000006</v>
      </c>
      <c r="D4" s="9">
        <v>71795.889999999985</v>
      </c>
      <c r="E4" s="10">
        <f t="shared" ref="E4:E13" si="0">SUM(B4:D4)</f>
        <v>174530.40000000002</v>
      </c>
    </row>
    <row r="5" spans="1:5" ht="14.5" x14ac:dyDescent="0.35">
      <c r="A5" s="8" t="s">
        <v>181</v>
      </c>
      <c r="B5" s="9">
        <v>115261.81999999998</v>
      </c>
      <c r="C5" s="9">
        <v>89589.98000000004</v>
      </c>
      <c r="D5" s="9">
        <v>67092.38</v>
      </c>
      <c r="E5" s="10">
        <f t="shared" si="0"/>
        <v>271944.18000000005</v>
      </c>
    </row>
    <row r="6" spans="1:5" s="27" customFormat="1" ht="14.5" x14ac:dyDescent="0.35">
      <c r="A6" s="8" t="s">
        <v>182</v>
      </c>
      <c r="B6" s="9">
        <v>558</v>
      </c>
      <c r="C6" s="9"/>
      <c r="D6" s="9"/>
      <c r="E6" s="10">
        <f t="shared" ref="E6" si="1">SUM(B6:D6)</f>
        <v>558</v>
      </c>
    </row>
    <row r="7" spans="1:5" s="3" customFormat="1" ht="18.5" customHeight="1" x14ac:dyDescent="0.35">
      <c r="A7" s="6" t="s">
        <v>183</v>
      </c>
      <c r="B7" s="9">
        <v>37047.600000000006</v>
      </c>
      <c r="C7" s="9">
        <v>6737.9</v>
      </c>
      <c r="D7" s="9">
        <v>54325.2</v>
      </c>
      <c r="E7" s="10">
        <f t="shared" si="0"/>
        <v>98110.700000000012</v>
      </c>
    </row>
    <row r="8" spans="1:5" s="5" customFormat="1" ht="14.5" x14ac:dyDescent="0.35">
      <c r="A8" s="8" t="s">
        <v>184</v>
      </c>
      <c r="B8" s="9">
        <v>106</v>
      </c>
      <c r="C8" s="9"/>
      <c r="D8" s="9"/>
      <c r="E8" s="10">
        <f>SUM(B8:D8)</f>
        <v>106</v>
      </c>
    </row>
    <row r="9" spans="1:5" ht="18.5" customHeight="1" x14ac:dyDescent="0.35">
      <c r="A9" s="6" t="s">
        <v>46</v>
      </c>
      <c r="B9" s="9">
        <v>0</v>
      </c>
      <c r="C9" s="9">
        <v>0</v>
      </c>
      <c r="D9" s="9">
        <v>50</v>
      </c>
      <c r="E9" s="10">
        <f t="shared" si="0"/>
        <v>50</v>
      </c>
    </row>
    <row r="10" spans="1:5" ht="18.5" customHeight="1" x14ac:dyDescent="0.35">
      <c r="A10" s="6" t="s">
        <v>186</v>
      </c>
      <c r="B10" s="9"/>
      <c r="C10" s="9">
        <v>1400</v>
      </c>
      <c r="D10" s="9">
        <v>0</v>
      </c>
      <c r="E10" s="10">
        <f t="shared" si="0"/>
        <v>1400</v>
      </c>
    </row>
    <row r="11" spans="1:5" ht="18.5" customHeight="1" x14ac:dyDescent="0.35">
      <c r="A11" s="6" t="s">
        <v>185</v>
      </c>
      <c r="B11" s="9">
        <v>0</v>
      </c>
      <c r="C11" s="9">
        <v>25.2</v>
      </c>
      <c r="D11" s="9">
        <v>0</v>
      </c>
      <c r="E11" s="10">
        <f t="shared" si="0"/>
        <v>25.2</v>
      </c>
    </row>
    <row r="12" spans="1:5" ht="18.5" customHeight="1" x14ac:dyDescent="0.35">
      <c r="A12" s="6" t="s">
        <v>187</v>
      </c>
      <c r="B12" s="9">
        <f>14700+6500</f>
        <v>21200</v>
      </c>
      <c r="C12" s="9">
        <v>58200</v>
      </c>
      <c r="D12" s="9">
        <f>32325+2600</f>
        <v>34925</v>
      </c>
      <c r="E12" s="10">
        <f t="shared" si="0"/>
        <v>114325</v>
      </c>
    </row>
    <row r="13" spans="1:5" ht="18.5" customHeight="1" x14ac:dyDescent="0.35">
      <c r="A13" s="6" t="s">
        <v>188</v>
      </c>
      <c r="B13" s="9">
        <v>5213.08</v>
      </c>
      <c r="C13" s="9">
        <v>12612.599999999999</v>
      </c>
      <c r="D13" s="9">
        <v>2709.8999999999996</v>
      </c>
      <c r="E13" s="11">
        <f t="shared" si="0"/>
        <v>20535.580000000002</v>
      </c>
    </row>
    <row r="14" spans="1:5" ht="18.5" customHeight="1" x14ac:dyDescent="0.35">
      <c r="A14" s="6"/>
      <c r="B14" s="9"/>
      <c r="C14" s="9"/>
      <c r="D14" s="9"/>
      <c r="E14" s="9"/>
    </row>
    <row r="15" spans="1:5" ht="18.5" customHeight="1" x14ac:dyDescent="0.35">
      <c r="A15" s="6"/>
      <c r="B15" s="9"/>
      <c r="C15" s="9"/>
      <c r="D15" s="9"/>
      <c r="E15" s="9"/>
    </row>
    <row r="16" spans="1:5" ht="18.5" customHeight="1" x14ac:dyDescent="0.35">
      <c r="A16" s="12" t="s">
        <v>30</v>
      </c>
      <c r="B16" s="13">
        <v>16008192.380000003</v>
      </c>
      <c r="C16" s="13">
        <v>14158643.74</v>
      </c>
      <c r="D16" s="13">
        <v>15375971.790000001</v>
      </c>
      <c r="E16" s="14">
        <f>SUM(B16:D16)</f>
        <v>45542807.910000004</v>
      </c>
    </row>
    <row r="17" spans="1:5" ht="18.5" customHeight="1" x14ac:dyDescent="0.35">
      <c r="A17" s="12" t="s">
        <v>6</v>
      </c>
      <c r="B17" s="13">
        <v>19532842.800000001</v>
      </c>
      <c r="C17" s="13">
        <v>24189747</v>
      </c>
      <c r="D17" s="13">
        <v>22862268.800000001</v>
      </c>
      <c r="E17" s="14">
        <f>SUM(B17:D17)</f>
        <v>66584858.599999994</v>
      </c>
    </row>
    <row r="18" spans="1:5" s="3" customFormat="1" ht="18.5" customHeight="1" x14ac:dyDescent="0.35">
      <c r="A18" s="12" t="s">
        <v>35</v>
      </c>
      <c r="B18" s="13"/>
      <c r="C18" s="13"/>
      <c r="D18" s="13"/>
      <c r="E18" s="14">
        <f>(33921253.8+24823546)/2</f>
        <v>29372399.899999999</v>
      </c>
    </row>
    <row r="19" spans="1:5" s="3" customFormat="1" ht="18.5" customHeight="1" x14ac:dyDescent="0.35">
      <c r="A19" s="12" t="s">
        <v>36</v>
      </c>
      <c r="B19" s="13"/>
      <c r="C19" s="13"/>
      <c r="D19" s="13"/>
      <c r="E19" s="14">
        <f>E18/E16*90</f>
        <v>58.04464222372976</v>
      </c>
    </row>
    <row r="20" spans="1:5" s="3" customFormat="1" ht="18.5" customHeight="1" x14ac:dyDescent="0.35">
      <c r="A20" s="12" t="s">
        <v>37</v>
      </c>
      <c r="B20" s="13"/>
      <c r="C20" s="13"/>
      <c r="D20" s="13"/>
      <c r="E20" s="14">
        <v>6948495</v>
      </c>
    </row>
    <row r="21" spans="1:5" s="3" customFormat="1" ht="18.5" customHeight="1" x14ac:dyDescent="0.35">
      <c r="A21" s="12" t="s">
        <v>38</v>
      </c>
      <c r="B21" s="13"/>
      <c r="C21" s="13"/>
      <c r="D21" s="13"/>
      <c r="E21" s="14">
        <v>25335101</v>
      </c>
    </row>
    <row r="22" spans="1:5" ht="18.5" customHeight="1" x14ac:dyDescent="0.35">
      <c r="A22" s="12" t="s">
        <v>31</v>
      </c>
      <c r="B22" s="13"/>
      <c r="C22" s="13"/>
      <c r="D22" s="13"/>
      <c r="E22" s="15">
        <f>E20/E21</f>
        <v>0.27426356026763027</v>
      </c>
    </row>
  </sheetData>
  <mergeCells count="1">
    <mergeCell ref="A1:E1"/>
  </mergeCells>
  <phoneticPr fontId="4" type="noConversion"/>
  <pageMargins left="0.75" right="0.75" top="1" bottom="1" header="0.5" footer="0.5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topLeftCell="A130" workbookViewId="0">
      <selection activeCell="E139" sqref="E139"/>
    </sheetView>
  </sheetViews>
  <sheetFormatPr defaultColWidth="8.81640625" defaultRowHeight="14.5" x14ac:dyDescent="0.35"/>
  <cols>
    <col min="1" max="1" width="61.81640625" style="3" bestFit="1" customWidth="1"/>
    <col min="2" max="5" width="14.1796875" style="3" bestFit="1" customWidth="1"/>
    <col min="6" max="6" width="11.6328125" style="23" customWidth="1"/>
    <col min="7" max="16384" width="8.81640625" style="3"/>
  </cols>
  <sheetData>
    <row r="1" spans="1:6" s="16" customFormat="1" ht="43.5" x14ac:dyDescent="0.35">
      <c r="A1" s="19" t="s">
        <v>39</v>
      </c>
      <c r="B1" s="19" t="s">
        <v>40</v>
      </c>
      <c r="C1" s="19" t="s">
        <v>41</v>
      </c>
      <c r="D1" s="19" t="s">
        <v>42</v>
      </c>
      <c r="E1" s="19" t="s">
        <v>43</v>
      </c>
      <c r="F1" s="24" t="s">
        <v>44</v>
      </c>
    </row>
    <row r="2" spans="1:6" s="16" customFormat="1" x14ac:dyDescent="0.35">
      <c r="A2" s="20" t="s">
        <v>179</v>
      </c>
      <c r="B2" s="21">
        <v>1315256.25</v>
      </c>
      <c r="C2" s="21">
        <v>446757</v>
      </c>
      <c r="D2" s="21">
        <v>2336922</v>
      </c>
      <c r="E2" s="21">
        <v>4098935.25</v>
      </c>
      <c r="F2" s="25">
        <f t="shared" ref="F2:F33" si="0">E2/E$135</f>
        <v>9.0001812319085855E-2</v>
      </c>
    </row>
    <row r="3" spans="1:6" x14ac:dyDescent="0.35">
      <c r="A3" s="20" t="s">
        <v>75</v>
      </c>
      <c r="B3" s="21">
        <v>352689.3</v>
      </c>
      <c r="C3" s="21">
        <v>288397.32</v>
      </c>
      <c r="D3" s="21">
        <v>1732731</v>
      </c>
      <c r="E3" s="21">
        <v>2373817.62</v>
      </c>
      <c r="F3" s="25">
        <f t="shared" si="0"/>
        <v>5.2122776985798709E-2</v>
      </c>
    </row>
    <row r="4" spans="1:6" x14ac:dyDescent="0.35">
      <c r="A4" s="20" t="s">
        <v>151</v>
      </c>
      <c r="B4" s="21">
        <v>312706.78999999998</v>
      </c>
      <c r="C4" s="21">
        <v>1826972</v>
      </c>
      <c r="D4" s="21">
        <v>168275.31</v>
      </c>
      <c r="E4" s="21">
        <v>2307954.1</v>
      </c>
      <c r="F4" s="25">
        <f t="shared" si="0"/>
        <v>5.0676587718545864E-2</v>
      </c>
    </row>
    <row r="5" spans="1:6" x14ac:dyDescent="0.35">
      <c r="A5" s="20" t="s">
        <v>114</v>
      </c>
      <c r="B5" s="21">
        <v>1013584.4600000001</v>
      </c>
      <c r="C5" s="21">
        <v>592652.17999999993</v>
      </c>
      <c r="D5" s="21">
        <v>340752.4</v>
      </c>
      <c r="E5" s="21">
        <v>1946989.04</v>
      </c>
      <c r="F5" s="25">
        <f t="shared" si="0"/>
        <v>4.2750746590934113E-2</v>
      </c>
    </row>
    <row r="6" spans="1:6" x14ac:dyDescent="0.35">
      <c r="A6" s="20" t="s">
        <v>164</v>
      </c>
      <c r="B6" s="21">
        <v>759184.62999999989</v>
      </c>
      <c r="C6" s="21">
        <v>607712.07000000007</v>
      </c>
      <c r="D6" s="21">
        <v>209682.79</v>
      </c>
      <c r="E6" s="21">
        <v>1576579.49</v>
      </c>
      <c r="F6" s="25">
        <f t="shared" si="0"/>
        <v>3.4617529360850503E-2</v>
      </c>
    </row>
    <row r="7" spans="1:6" x14ac:dyDescent="0.35">
      <c r="A7" s="20" t="s">
        <v>92</v>
      </c>
      <c r="B7" s="21">
        <v>90991.01</v>
      </c>
      <c r="C7" s="21"/>
      <c r="D7" s="21">
        <v>1249315.8900000001</v>
      </c>
      <c r="E7" s="21">
        <v>1340306.9000000001</v>
      </c>
      <c r="F7" s="25">
        <f t="shared" si="0"/>
        <v>2.9429606155348707E-2</v>
      </c>
    </row>
    <row r="8" spans="1:6" x14ac:dyDescent="0.35">
      <c r="A8" s="20" t="s">
        <v>96</v>
      </c>
      <c r="B8" s="21">
        <v>286613.55</v>
      </c>
      <c r="C8" s="21">
        <v>572176.04</v>
      </c>
      <c r="D8" s="21">
        <v>180961.68</v>
      </c>
      <c r="E8" s="21">
        <v>1039751.27</v>
      </c>
      <c r="F8" s="25">
        <f t="shared" si="0"/>
        <v>2.2830196856871834E-2</v>
      </c>
    </row>
    <row r="9" spans="1:6" x14ac:dyDescent="0.35">
      <c r="A9" s="20" t="s">
        <v>154</v>
      </c>
      <c r="B9" s="21">
        <v>153632.04</v>
      </c>
      <c r="C9" s="21">
        <v>581396.80000000005</v>
      </c>
      <c r="D9" s="21">
        <v>299408.31</v>
      </c>
      <c r="E9" s="21">
        <v>1034437.1500000001</v>
      </c>
      <c r="F9" s="25">
        <f t="shared" si="0"/>
        <v>2.2713512790959574E-2</v>
      </c>
    </row>
    <row r="10" spans="1:6" x14ac:dyDescent="0.35">
      <c r="A10" s="20" t="s">
        <v>146</v>
      </c>
      <c r="B10" s="21">
        <v>473100.15</v>
      </c>
      <c r="C10" s="21">
        <v>535822.56000000006</v>
      </c>
      <c r="D10" s="21"/>
      <c r="E10" s="21">
        <v>1008922.7100000001</v>
      </c>
      <c r="F10" s="25">
        <f t="shared" si="0"/>
        <v>2.2153282950708602E-2</v>
      </c>
    </row>
    <row r="11" spans="1:6" x14ac:dyDescent="0.35">
      <c r="A11" s="20" t="s">
        <v>99</v>
      </c>
      <c r="B11" s="21">
        <v>315474.82</v>
      </c>
      <c r="C11" s="21">
        <v>235136.80000000002</v>
      </c>
      <c r="D11" s="21">
        <v>382562.68</v>
      </c>
      <c r="E11" s="21">
        <v>933174.3</v>
      </c>
      <c r="F11" s="25">
        <f t="shared" si="0"/>
        <v>2.0490047557983341E-2</v>
      </c>
    </row>
    <row r="12" spans="1:6" x14ac:dyDescent="0.35">
      <c r="A12" s="20" t="s">
        <v>80</v>
      </c>
      <c r="B12" s="21">
        <v>912482.82</v>
      </c>
      <c r="C12" s="21"/>
      <c r="D12" s="21"/>
      <c r="E12" s="21">
        <v>912482.82</v>
      </c>
      <c r="F12" s="25">
        <f t="shared" si="0"/>
        <v>2.003571720485953E-2</v>
      </c>
    </row>
    <row r="13" spans="1:6" x14ac:dyDescent="0.35">
      <c r="A13" s="20" t="s">
        <v>130</v>
      </c>
      <c r="B13" s="21"/>
      <c r="C13" s="21">
        <v>577975</v>
      </c>
      <c r="D13" s="21">
        <v>321985</v>
      </c>
      <c r="E13" s="21">
        <v>899960</v>
      </c>
      <c r="F13" s="25">
        <f t="shared" si="0"/>
        <v>1.976074909079974E-2</v>
      </c>
    </row>
    <row r="14" spans="1:6" x14ac:dyDescent="0.35">
      <c r="A14" s="20" t="s">
        <v>77</v>
      </c>
      <c r="B14" s="21">
        <v>450272.16000000003</v>
      </c>
      <c r="C14" s="21"/>
      <c r="D14" s="21">
        <v>433521</v>
      </c>
      <c r="E14" s="21">
        <v>883793.16</v>
      </c>
      <c r="F14" s="25">
        <f t="shared" si="0"/>
        <v>1.940576790404577E-2</v>
      </c>
    </row>
    <row r="15" spans="1:6" x14ac:dyDescent="0.35">
      <c r="A15" s="20" t="s">
        <v>119</v>
      </c>
      <c r="B15" s="21">
        <v>335344.18</v>
      </c>
      <c r="C15" s="21">
        <v>299779.63</v>
      </c>
      <c r="D15" s="21">
        <v>245096.48</v>
      </c>
      <c r="E15" s="21">
        <v>880220.29</v>
      </c>
      <c r="F15" s="25">
        <f t="shared" si="0"/>
        <v>1.9327317097783219E-2</v>
      </c>
    </row>
    <row r="16" spans="1:6" x14ac:dyDescent="0.35">
      <c r="A16" s="20" t="s">
        <v>106</v>
      </c>
      <c r="B16" s="21">
        <v>394456.56</v>
      </c>
      <c r="C16" s="21">
        <v>188107.91999999998</v>
      </c>
      <c r="D16" s="21">
        <v>269537</v>
      </c>
      <c r="E16" s="21">
        <v>852101.48</v>
      </c>
      <c r="F16" s="25">
        <f t="shared" si="0"/>
        <v>1.8709902158072708E-2</v>
      </c>
    </row>
    <row r="17" spans="1:6" x14ac:dyDescent="0.35">
      <c r="A17" s="20" t="s">
        <v>90</v>
      </c>
      <c r="B17" s="21">
        <v>493612.35</v>
      </c>
      <c r="C17" s="21"/>
      <c r="D17" s="21">
        <v>354970</v>
      </c>
      <c r="E17" s="21">
        <v>848582.35</v>
      </c>
      <c r="F17" s="25">
        <f t="shared" si="0"/>
        <v>1.8632631340538698E-2</v>
      </c>
    </row>
    <row r="18" spans="1:6" x14ac:dyDescent="0.35">
      <c r="A18" s="20" t="s">
        <v>169</v>
      </c>
      <c r="B18" s="21">
        <v>136240</v>
      </c>
      <c r="C18" s="21">
        <v>548448</v>
      </c>
      <c r="D18" s="21"/>
      <c r="E18" s="21">
        <v>684688</v>
      </c>
      <c r="F18" s="25">
        <f t="shared" si="0"/>
        <v>1.5033943479134065E-2</v>
      </c>
    </row>
    <row r="19" spans="1:6" x14ac:dyDescent="0.35">
      <c r="A19" s="20" t="s">
        <v>84</v>
      </c>
      <c r="B19" s="21">
        <v>167088.4</v>
      </c>
      <c r="C19" s="21">
        <v>231426</v>
      </c>
      <c r="D19" s="21">
        <v>175133.2</v>
      </c>
      <c r="E19" s="21">
        <v>573647.60000000009</v>
      </c>
      <c r="F19" s="25">
        <f t="shared" si="0"/>
        <v>1.2595789024111579E-2</v>
      </c>
    </row>
    <row r="20" spans="1:6" x14ac:dyDescent="0.35">
      <c r="A20" s="20" t="s">
        <v>135</v>
      </c>
      <c r="B20" s="21">
        <v>186160.08000000002</v>
      </c>
      <c r="C20" s="21">
        <v>128448</v>
      </c>
      <c r="D20" s="21">
        <v>245814.5</v>
      </c>
      <c r="E20" s="21">
        <v>560422.58000000007</v>
      </c>
      <c r="F20" s="25">
        <f t="shared" si="0"/>
        <v>1.2305402449218461E-2</v>
      </c>
    </row>
    <row r="21" spans="1:6" x14ac:dyDescent="0.35">
      <c r="A21" s="20" t="s">
        <v>52</v>
      </c>
      <c r="B21" s="21">
        <v>228009.60000000001</v>
      </c>
      <c r="C21" s="21">
        <v>228009.60000000001</v>
      </c>
      <c r="D21" s="21">
        <v>68402.880000000005</v>
      </c>
      <c r="E21" s="21">
        <v>524422.08000000007</v>
      </c>
      <c r="F21" s="25">
        <f t="shared" si="0"/>
        <v>1.1514926375122574E-2</v>
      </c>
    </row>
    <row r="22" spans="1:6" x14ac:dyDescent="0.35">
      <c r="A22" s="20" t="s">
        <v>54</v>
      </c>
      <c r="B22" s="21">
        <v>487301.4</v>
      </c>
      <c r="C22" s="21">
        <v>34650</v>
      </c>
      <c r="D22" s="21"/>
      <c r="E22" s="21">
        <v>521951.4</v>
      </c>
      <c r="F22" s="25">
        <f t="shared" si="0"/>
        <v>1.1460676755624309E-2</v>
      </c>
    </row>
    <row r="23" spans="1:6" x14ac:dyDescent="0.35">
      <c r="A23" s="20" t="s">
        <v>168</v>
      </c>
      <c r="B23" s="21"/>
      <c r="C23" s="21"/>
      <c r="D23" s="21">
        <v>508172.71</v>
      </c>
      <c r="E23" s="21">
        <v>508172.71</v>
      </c>
      <c r="F23" s="25">
        <f t="shared" si="0"/>
        <v>1.1158133047137362E-2</v>
      </c>
    </row>
    <row r="24" spans="1:6" x14ac:dyDescent="0.35">
      <c r="A24" s="20" t="s">
        <v>104</v>
      </c>
      <c r="B24" s="21">
        <v>29568</v>
      </c>
      <c r="C24" s="21">
        <v>476596.68</v>
      </c>
      <c r="D24" s="21"/>
      <c r="E24" s="21">
        <v>506164.68</v>
      </c>
      <c r="F24" s="25">
        <f t="shared" si="0"/>
        <v>1.1114042001983357E-2</v>
      </c>
    </row>
    <row r="25" spans="1:6" x14ac:dyDescent="0.35">
      <c r="A25" s="20" t="s">
        <v>115</v>
      </c>
      <c r="B25" s="21">
        <v>120890</v>
      </c>
      <c r="C25" s="21"/>
      <c r="D25" s="21">
        <v>383547</v>
      </c>
      <c r="E25" s="21">
        <v>504437</v>
      </c>
      <c r="F25" s="25">
        <f t="shared" si="0"/>
        <v>1.1076106703759888E-2</v>
      </c>
    </row>
    <row r="26" spans="1:6" x14ac:dyDescent="0.35">
      <c r="A26" s="20" t="s">
        <v>118</v>
      </c>
      <c r="B26" s="21">
        <v>122504.08</v>
      </c>
      <c r="C26" s="21">
        <v>259735</v>
      </c>
      <c r="D26" s="21">
        <v>121802.25</v>
      </c>
      <c r="E26" s="21">
        <v>504041.33</v>
      </c>
      <c r="F26" s="25">
        <f t="shared" si="0"/>
        <v>1.1067418833640376E-2</v>
      </c>
    </row>
    <row r="27" spans="1:6" x14ac:dyDescent="0.35">
      <c r="A27" s="20" t="s">
        <v>101</v>
      </c>
      <c r="B27" s="21"/>
      <c r="C27" s="21"/>
      <c r="D27" s="21">
        <v>498924.36</v>
      </c>
      <c r="E27" s="21">
        <v>498924.36</v>
      </c>
      <c r="F27" s="25">
        <f t="shared" si="0"/>
        <v>1.0955063661993692E-2</v>
      </c>
    </row>
    <row r="28" spans="1:6" x14ac:dyDescent="0.35">
      <c r="A28" s="20" t="s">
        <v>89</v>
      </c>
      <c r="B28" s="21">
        <v>13104</v>
      </c>
      <c r="C28" s="21">
        <v>425611.6</v>
      </c>
      <c r="D28" s="21">
        <v>53349</v>
      </c>
      <c r="E28" s="21">
        <v>492064.6</v>
      </c>
      <c r="F28" s="25">
        <f t="shared" si="0"/>
        <v>1.0804441416357103E-2</v>
      </c>
    </row>
    <row r="29" spans="1:6" x14ac:dyDescent="0.35">
      <c r="A29" s="20" t="s">
        <v>79</v>
      </c>
      <c r="B29" s="21">
        <v>76512.3</v>
      </c>
      <c r="C29" s="21">
        <v>117589.07</v>
      </c>
      <c r="D29" s="21">
        <v>251740.9</v>
      </c>
      <c r="E29" s="21">
        <v>445842.27</v>
      </c>
      <c r="F29" s="25">
        <f t="shared" si="0"/>
        <v>9.789520902642998E-3</v>
      </c>
    </row>
    <row r="30" spans="1:6" x14ac:dyDescent="0.35">
      <c r="A30" s="20" t="s">
        <v>109</v>
      </c>
      <c r="B30" s="21">
        <v>427977.45999999996</v>
      </c>
      <c r="C30" s="21"/>
      <c r="D30" s="21"/>
      <c r="E30" s="21">
        <v>427977.45999999996</v>
      </c>
      <c r="F30" s="25">
        <f t="shared" si="0"/>
        <v>9.3972567709429116E-3</v>
      </c>
    </row>
    <row r="31" spans="1:6" x14ac:dyDescent="0.35">
      <c r="A31" s="20" t="s">
        <v>123</v>
      </c>
      <c r="B31" s="21">
        <v>4650</v>
      </c>
      <c r="C31" s="21">
        <v>394240</v>
      </c>
      <c r="D31" s="21">
        <v>27900</v>
      </c>
      <c r="E31" s="21">
        <v>426790</v>
      </c>
      <c r="F31" s="25">
        <f t="shared" si="0"/>
        <v>9.3711832797706805E-3</v>
      </c>
    </row>
    <row r="32" spans="1:6" x14ac:dyDescent="0.35">
      <c r="A32" s="20" t="s">
        <v>69</v>
      </c>
      <c r="B32" s="21">
        <v>116053</v>
      </c>
      <c r="C32" s="21">
        <v>306748.79999999999</v>
      </c>
      <c r="D32" s="21"/>
      <c r="E32" s="21">
        <v>422801.8</v>
      </c>
      <c r="F32" s="25">
        <f t="shared" si="0"/>
        <v>9.2836129216170658E-3</v>
      </c>
    </row>
    <row r="33" spans="1:6" x14ac:dyDescent="0.35">
      <c r="A33" s="20" t="s">
        <v>58</v>
      </c>
      <c r="B33" s="21">
        <v>247486.71</v>
      </c>
      <c r="C33" s="21">
        <v>165908</v>
      </c>
      <c r="D33" s="21"/>
      <c r="E33" s="21">
        <v>413394.70999999996</v>
      </c>
      <c r="F33" s="25">
        <f t="shared" si="0"/>
        <v>9.0770580245498941E-3</v>
      </c>
    </row>
    <row r="34" spans="1:6" x14ac:dyDescent="0.35">
      <c r="A34" s="20" t="s">
        <v>65</v>
      </c>
      <c r="B34" s="21">
        <v>247486.71</v>
      </c>
      <c r="C34" s="21">
        <v>165908</v>
      </c>
      <c r="D34" s="21"/>
      <c r="E34" s="21">
        <v>413394.70999999996</v>
      </c>
      <c r="F34" s="25">
        <f t="shared" ref="F34:F65" si="1">E34/E$135</f>
        <v>9.0770580245498941E-3</v>
      </c>
    </row>
    <row r="35" spans="1:6" x14ac:dyDescent="0.35">
      <c r="A35" s="20" t="s">
        <v>117</v>
      </c>
      <c r="B35" s="21"/>
      <c r="C35" s="21"/>
      <c r="D35" s="21">
        <v>386833.5</v>
      </c>
      <c r="E35" s="21">
        <v>386833.5</v>
      </c>
      <c r="F35" s="25">
        <f t="shared" si="1"/>
        <v>8.4938438746342965E-3</v>
      </c>
    </row>
    <row r="36" spans="1:6" x14ac:dyDescent="0.35">
      <c r="A36" s="20" t="s">
        <v>162</v>
      </c>
      <c r="B36" s="21">
        <v>83715</v>
      </c>
      <c r="C36" s="21">
        <v>76569.5</v>
      </c>
      <c r="D36" s="21">
        <v>218280</v>
      </c>
      <c r="E36" s="21">
        <v>378564.5</v>
      </c>
      <c r="F36" s="25">
        <f t="shared" si="1"/>
        <v>8.3122784336904509E-3</v>
      </c>
    </row>
    <row r="37" spans="1:6" x14ac:dyDescent="0.35">
      <c r="A37" s="20" t="s">
        <v>142</v>
      </c>
      <c r="B37" s="21">
        <v>140974.20000000001</v>
      </c>
      <c r="C37" s="21">
        <v>235970</v>
      </c>
      <c r="D37" s="21"/>
      <c r="E37" s="21">
        <v>376944.2</v>
      </c>
      <c r="F37" s="25">
        <f t="shared" si="1"/>
        <v>8.2767009171876935E-3</v>
      </c>
    </row>
    <row r="38" spans="1:6" x14ac:dyDescent="0.35">
      <c r="A38" s="20" t="s">
        <v>110</v>
      </c>
      <c r="B38" s="21">
        <v>257273</v>
      </c>
      <c r="C38" s="21">
        <v>118035.4</v>
      </c>
      <c r="D38" s="21"/>
      <c r="E38" s="21">
        <v>375308.4</v>
      </c>
      <c r="F38" s="25">
        <f t="shared" si="1"/>
        <v>8.2407830615466304E-3</v>
      </c>
    </row>
    <row r="39" spans="1:6" x14ac:dyDescent="0.35">
      <c r="A39" s="20" t="s">
        <v>95</v>
      </c>
      <c r="B39" s="21">
        <v>165837</v>
      </c>
      <c r="C39" s="21">
        <v>209387.25</v>
      </c>
      <c r="D39" s="21"/>
      <c r="E39" s="21">
        <v>375224.25</v>
      </c>
      <c r="F39" s="25">
        <f t="shared" si="1"/>
        <v>8.238935349386101E-3</v>
      </c>
    </row>
    <row r="40" spans="1:6" x14ac:dyDescent="0.35">
      <c r="A40" s="20" t="s">
        <v>155</v>
      </c>
      <c r="B40" s="21">
        <v>187418</v>
      </c>
      <c r="C40" s="21"/>
      <c r="D40" s="21">
        <v>186030</v>
      </c>
      <c r="E40" s="21">
        <v>373448</v>
      </c>
      <c r="F40" s="25">
        <f t="shared" si="1"/>
        <v>8.1999335820047356E-3</v>
      </c>
    </row>
    <row r="41" spans="1:6" x14ac:dyDescent="0.35">
      <c r="A41" s="20" t="s">
        <v>125</v>
      </c>
      <c r="B41" s="21">
        <v>190995</v>
      </c>
      <c r="C41" s="21">
        <v>180172.79999999999</v>
      </c>
      <c r="D41" s="21"/>
      <c r="E41" s="21">
        <v>371167.8</v>
      </c>
      <c r="F41" s="25">
        <f t="shared" si="1"/>
        <v>8.1498664011557618E-3</v>
      </c>
    </row>
    <row r="42" spans="1:6" x14ac:dyDescent="0.35">
      <c r="A42" s="20" t="s">
        <v>163</v>
      </c>
      <c r="B42" s="21">
        <v>366215.85</v>
      </c>
      <c r="C42" s="21"/>
      <c r="D42" s="21"/>
      <c r="E42" s="21">
        <v>366215.85</v>
      </c>
      <c r="F42" s="25">
        <f t="shared" si="1"/>
        <v>8.0411346336770016E-3</v>
      </c>
    </row>
    <row r="43" spans="1:6" x14ac:dyDescent="0.35">
      <c r="A43" s="20" t="s">
        <v>111</v>
      </c>
      <c r="B43" s="21">
        <v>70840</v>
      </c>
      <c r="C43" s="21">
        <v>293601</v>
      </c>
      <c r="D43" s="21"/>
      <c r="E43" s="21">
        <v>364441</v>
      </c>
      <c r="F43" s="25">
        <f t="shared" si="1"/>
        <v>8.0021636066049031E-3</v>
      </c>
    </row>
    <row r="44" spans="1:6" x14ac:dyDescent="0.35">
      <c r="A44" s="20" t="s">
        <v>62</v>
      </c>
      <c r="B44" s="21"/>
      <c r="C44" s="21">
        <v>324564.24</v>
      </c>
      <c r="D44" s="21"/>
      <c r="E44" s="21">
        <v>324564.24</v>
      </c>
      <c r="F44" s="25">
        <f t="shared" si="1"/>
        <v>7.1265750816548613E-3</v>
      </c>
    </row>
    <row r="45" spans="1:6" x14ac:dyDescent="0.35">
      <c r="A45" s="20" t="s">
        <v>126</v>
      </c>
      <c r="B45" s="21"/>
      <c r="C45" s="21">
        <v>296412.48000000004</v>
      </c>
      <c r="D45" s="21"/>
      <c r="E45" s="21">
        <v>296412.48000000004</v>
      </c>
      <c r="F45" s="25">
        <f t="shared" si="1"/>
        <v>6.5084366468084109E-3</v>
      </c>
    </row>
    <row r="46" spans="1:6" x14ac:dyDescent="0.35">
      <c r="A46" s="20" t="s">
        <v>161</v>
      </c>
      <c r="B46" s="21">
        <v>220138.76</v>
      </c>
      <c r="C46" s="21">
        <v>67034.2</v>
      </c>
      <c r="D46" s="21"/>
      <c r="E46" s="21">
        <v>287172.96000000002</v>
      </c>
      <c r="F46" s="25">
        <f t="shared" si="1"/>
        <v>6.3055611451867536E-3</v>
      </c>
    </row>
    <row r="47" spans="1:6" x14ac:dyDescent="0.35">
      <c r="A47" s="20" t="s">
        <v>83</v>
      </c>
      <c r="B47" s="21"/>
      <c r="C47" s="21">
        <v>181709.35</v>
      </c>
      <c r="D47" s="21">
        <v>105364.20000000001</v>
      </c>
      <c r="E47" s="21">
        <v>287073.55000000005</v>
      </c>
      <c r="F47" s="25">
        <f t="shared" si="1"/>
        <v>6.3033783636552232E-3</v>
      </c>
    </row>
    <row r="48" spans="1:6" x14ac:dyDescent="0.35">
      <c r="A48" s="20" t="s">
        <v>143</v>
      </c>
      <c r="B48" s="21">
        <v>137520</v>
      </c>
      <c r="C48" s="21"/>
      <c r="D48" s="21">
        <v>142752.5</v>
      </c>
      <c r="E48" s="21">
        <v>280272.5</v>
      </c>
      <c r="F48" s="25">
        <f t="shared" si="1"/>
        <v>6.1540452348450717E-3</v>
      </c>
    </row>
    <row r="49" spans="1:6" x14ac:dyDescent="0.35">
      <c r="A49" s="20" t="s">
        <v>63</v>
      </c>
      <c r="B49" s="21">
        <v>68402.880000000005</v>
      </c>
      <c r="C49" s="21">
        <v>88099.699999999983</v>
      </c>
      <c r="D49" s="21">
        <v>91317.040000000008</v>
      </c>
      <c r="E49" s="21">
        <v>247819.62</v>
      </c>
      <c r="F49" s="25">
        <f t="shared" si="1"/>
        <v>5.441465543576756E-3</v>
      </c>
    </row>
    <row r="50" spans="1:6" x14ac:dyDescent="0.35">
      <c r="A50" s="20" t="s">
        <v>170</v>
      </c>
      <c r="B50" s="21"/>
      <c r="C50" s="21"/>
      <c r="D50" s="21">
        <v>230336.6</v>
      </c>
      <c r="E50" s="21">
        <v>230336.6</v>
      </c>
      <c r="F50" s="25">
        <f t="shared" si="1"/>
        <v>5.0575845137871729E-3</v>
      </c>
    </row>
    <row r="51" spans="1:6" x14ac:dyDescent="0.35">
      <c r="A51" s="20" t="s">
        <v>133</v>
      </c>
      <c r="B51" s="21">
        <v>89250</v>
      </c>
      <c r="C51" s="21">
        <v>118003.2</v>
      </c>
      <c r="D51" s="21">
        <v>21903.200000000001</v>
      </c>
      <c r="E51" s="21">
        <v>229156.40000000002</v>
      </c>
      <c r="F51" s="25">
        <f t="shared" si="1"/>
        <v>5.0316704330758506E-3</v>
      </c>
    </row>
    <row r="52" spans="1:6" x14ac:dyDescent="0.35">
      <c r="A52" s="20" t="s">
        <v>98</v>
      </c>
      <c r="B52" s="21"/>
      <c r="C52" s="21"/>
      <c r="D52" s="21">
        <v>228562.51</v>
      </c>
      <c r="E52" s="21">
        <v>228562.51</v>
      </c>
      <c r="F52" s="25">
        <f t="shared" si="1"/>
        <v>5.0186301743115327E-3</v>
      </c>
    </row>
    <row r="53" spans="1:6" x14ac:dyDescent="0.35">
      <c r="A53" s="20" t="s">
        <v>113</v>
      </c>
      <c r="B53" s="21">
        <v>153906.47999999998</v>
      </c>
      <c r="C53" s="21"/>
      <c r="D53" s="21">
        <v>68402.880000000005</v>
      </c>
      <c r="E53" s="21">
        <v>222309.36</v>
      </c>
      <c r="F53" s="25">
        <f t="shared" si="1"/>
        <v>4.8813274851063071E-3</v>
      </c>
    </row>
    <row r="54" spans="1:6" x14ac:dyDescent="0.35">
      <c r="A54" s="20" t="s">
        <v>174</v>
      </c>
      <c r="B54" s="21"/>
      <c r="C54" s="21">
        <v>217804.79999999999</v>
      </c>
      <c r="D54" s="21"/>
      <c r="E54" s="21">
        <v>217804.79999999999</v>
      </c>
      <c r="F54" s="25">
        <f t="shared" si="1"/>
        <v>4.7824192226008037E-3</v>
      </c>
    </row>
    <row r="55" spans="1:6" x14ac:dyDescent="0.35">
      <c r="A55" s="20" t="s">
        <v>72</v>
      </c>
      <c r="B55" s="21">
        <v>209883.19</v>
      </c>
      <c r="C55" s="21"/>
      <c r="D55" s="21"/>
      <c r="E55" s="21">
        <v>209883.19</v>
      </c>
      <c r="F55" s="25">
        <f t="shared" si="1"/>
        <v>4.6084815502540665E-3</v>
      </c>
    </row>
    <row r="56" spans="1:6" x14ac:dyDescent="0.35">
      <c r="A56" s="20" t="s">
        <v>47</v>
      </c>
      <c r="B56" s="21">
        <v>208260.38999999998</v>
      </c>
      <c r="C56" s="21"/>
      <c r="D56" s="21"/>
      <c r="E56" s="21">
        <v>208260.38999999998</v>
      </c>
      <c r="F56" s="25">
        <f t="shared" si="1"/>
        <v>4.5728491403419034E-3</v>
      </c>
    </row>
    <row r="57" spans="1:6" x14ac:dyDescent="0.35">
      <c r="A57" s="20" t="s">
        <v>50</v>
      </c>
      <c r="B57" s="21">
        <v>50112.72</v>
      </c>
      <c r="C57" s="21">
        <v>81517.960000000006</v>
      </c>
      <c r="D57" s="21">
        <v>66228.72</v>
      </c>
      <c r="E57" s="21">
        <v>197859.4</v>
      </c>
      <c r="F57" s="25">
        <f t="shared" si="1"/>
        <v>4.3444708194321771E-3</v>
      </c>
    </row>
    <row r="58" spans="1:6" x14ac:dyDescent="0.35">
      <c r="A58" s="20" t="s">
        <v>121</v>
      </c>
      <c r="B58" s="21">
        <v>195940</v>
      </c>
      <c r="C58" s="21"/>
      <c r="D58" s="21"/>
      <c r="E58" s="21">
        <v>195940</v>
      </c>
      <c r="F58" s="25">
        <f t="shared" si="1"/>
        <v>4.3023258554283541E-3</v>
      </c>
    </row>
    <row r="59" spans="1:6" x14ac:dyDescent="0.35">
      <c r="A59" s="20" t="s">
        <v>132</v>
      </c>
      <c r="B59" s="21">
        <v>192544.8</v>
      </c>
      <c r="C59" s="21"/>
      <c r="D59" s="21"/>
      <c r="E59" s="21">
        <v>192544.8</v>
      </c>
      <c r="F59" s="25">
        <f t="shared" si="1"/>
        <v>4.2277762139853077E-3</v>
      </c>
    </row>
    <row r="60" spans="1:6" x14ac:dyDescent="0.35">
      <c r="A60" s="20" t="s">
        <v>85</v>
      </c>
      <c r="B60" s="21">
        <v>110880</v>
      </c>
      <c r="C60" s="21">
        <v>60323.920000000006</v>
      </c>
      <c r="D60" s="21">
        <v>19981.599999999999</v>
      </c>
      <c r="E60" s="21">
        <v>191185.52000000002</v>
      </c>
      <c r="F60" s="25">
        <f t="shared" si="1"/>
        <v>4.1979300085715765E-3</v>
      </c>
    </row>
    <row r="61" spans="1:6" x14ac:dyDescent="0.35">
      <c r="A61" s="20" t="s">
        <v>145</v>
      </c>
      <c r="B61" s="21"/>
      <c r="C61" s="21">
        <v>189161.28</v>
      </c>
      <c r="D61" s="21"/>
      <c r="E61" s="21">
        <v>189161.28</v>
      </c>
      <c r="F61" s="25">
        <f t="shared" si="1"/>
        <v>4.153483034550997E-3</v>
      </c>
    </row>
    <row r="62" spans="1:6" x14ac:dyDescent="0.35">
      <c r="A62" s="20" t="s">
        <v>82</v>
      </c>
      <c r="B62" s="21">
        <v>73807.199999999997</v>
      </c>
      <c r="C62" s="21"/>
      <c r="D62" s="21">
        <v>109032</v>
      </c>
      <c r="E62" s="21">
        <v>182839.2</v>
      </c>
      <c r="F62" s="25">
        <f t="shared" si="1"/>
        <v>4.014666824261692E-3</v>
      </c>
    </row>
    <row r="63" spans="1:6" x14ac:dyDescent="0.35">
      <c r="A63" s="20" t="s">
        <v>116</v>
      </c>
      <c r="B63" s="21">
        <v>36561.919999999998</v>
      </c>
      <c r="C63" s="21">
        <v>5922</v>
      </c>
      <c r="D63" s="21">
        <v>137228.28000000003</v>
      </c>
      <c r="E63" s="21">
        <v>179712.2</v>
      </c>
      <c r="F63" s="25">
        <f t="shared" si="1"/>
        <v>3.9460061477794807E-3</v>
      </c>
    </row>
    <row r="64" spans="1:6" x14ac:dyDescent="0.35">
      <c r="A64" s="20" t="s">
        <v>172</v>
      </c>
      <c r="B64" s="21"/>
      <c r="C64" s="21"/>
      <c r="D64" s="21">
        <v>171007.2</v>
      </c>
      <c r="E64" s="21">
        <v>171007.2</v>
      </c>
      <c r="F64" s="25">
        <f t="shared" si="1"/>
        <v>3.7548672962356214E-3</v>
      </c>
    </row>
    <row r="65" spans="1:6" x14ac:dyDescent="0.35">
      <c r="A65" s="20" t="s">
        <v>107</v>
      </c>
      <c r="B65" s="21">
        <v>95102.62</v>
      </c>
      <c r="C65" s="21"/>
      <c r="D65" s="21">
        <v>74401.91</v>
      </c>
      <c r="E65" s="21">
        <v>169504.53</v>
      </c>
      <c r="F65" s="25">
        <f t="shared" si="1"/>
        <v>3.7218726244321277E-3</v>
      </c>
    </row>
    <row r="66" spans="1:6" x14ac:dyDescent="0.35">
      <c r="A66" s="20" t="s">
        <v>128</v>
      </c>
      <c r="B66" s="21">
        <v>165269.6</v>
      </c>
      <c r="C66" s="21"/>
      <c r="D66" s="21"/>
      <c r="E66" s="21">
        <v>165269.6</v>
      </c>
      <c r="F66" s="25">
        <f t="shared" ref="F66:F97" si="2">E66/E$135</f>
        <v>3.6288847259176374E-3</v>
      </c>
    </row>
    <row r="67" spans="1:6" x14ac:dyDescent="0.35">
      <c r="A67" s="20" t="s">
        <v>150</v>
      </c>
      <c r="B67" s="21">
        <v>80964</v>
      </c>
      <c r="C67" s="21">
        <v>80964</v>
      </c>
      <c r="D67" s="21"/>
      <c r="E67" s="21">
        <v>161928</v>
      </c>
      <c r="F67" s="25">
        <f t="shared" si="2"/>
        <v>3.5555119991722084E-3</v>
      </c>
    </row>
    <row r="68" spans="1:6" x14ac:dyDescent="0.35">
      <c r="A68" s="20" t="s">
        <v>56</v>
      </c>
      <c r="B68" s="21">
        <v>61857.3</v>
      </c>
      <c r="C68" s="21"/>
      <c r="D68" s="21">
        <v>98256</v>
      </c>
      <c r="E68" s="21">
        <v>160113.29999999999</v>
      </c>
      <c r="F68" s="25">
        <f t="shared" si="2"/>
        <v>3.5156659711542138E-3</v>
      </c>
    </row>
    <row r="69" spans="1:6" x14ac:dyDescent="0.35">
      <c r="A69" s="20" t="s">
        <v>61</v>
      </c>
      <c r="B69" s="21"/>
      <c r="C69" s="21">
        <v>68823.66</v>
      </c>
      <c r="D69" s="21">
        <v>90876.5</v>
      </c>
      <c r="E69" s="21">
        <v>159700.16</v>
      </c>
      <c r="F69" s="25">
        <f t="shared" si="2"/>
        <v>3.5065945058897876E-3</v>
      </c>
    </row>
    <row r="70" spans="1:6" x14ac:dyDescent="0.35">
      <c r="A70" s="20" t="s">
        <v>144</v>
      </c>
      <c r="B70" s="21"/>
      <c r="C70" s="21"/>
      <c r="D70" s="21">
        <v>159669.04</v>
      </c>
      <c r="E70" s="21">
        <v>159669.04</v>
      </c>
      <c r="F70" s="25">
        <f t="shared" si="2"/>
        <v>3.5059111927295298E-3</v>
      </c>
    </row>
    <row r="71" spans="1:6" x14ac:dyDescent="0.35">
      <c r="A71" s="20" t="s">
        <v>149</v>
      </c>
      <c r="B71" s="21"/>
      <c r="C71" s="21">
        <v>45601.919999999998</v>
      </c>
      <c r="D71" s="21">
        <v>113206.08</v>
      </c>
      <c r="E71" s="21">
        <v>158808</v>
      </c>
      <c r="F71" s="25">
        <f t="shared" si="2"/>
        <v>3.4870050242363274E-3</v>
      </c>
    </row>
    <row r="72" spans="1:6" x14ac:dyDescent="0.35">
      <c r="A72" s="20" t="s">
        <v>153</v>
      </c>
      <c r="B72" s="21">
        <v>105826</v>
      </c>
      <c r="C72" s="21">
        <v>47976.5</v>
      </c>
      <c r="D72" s="21"/>
      <c r="E72" s="21">
        <v>153802.5</v>
      </c>
      <c r="F72" s="25">
        <f t="shared" si="2"/>
        <v>3.3770974399281381E-3</v>
      </c>
    </row>
    <row r="73" spans="1:6" x14ac:dyDescent="0.35">
      <c r="A73" s="20" t="s">
        <v>157</v>
      </c>
      <c r="B73" s="21"/>
      <c r="C73" s="21">
        <v>84366.36</v>
      </c>
      <c r="D73" s="21">
        <v>68402.880000000005</v>
      </c>
      <c r="E73" s="21">
        <v>152769.24</v>
      </c>
      <c r="F73" s="25">
        <f t="shared" si="2"/>
        <v>3.3544097742479301E-3</v>
      </c>
    </row>
    <row r="74" spans="1:6" x14ac:dyDescent="0.35">
      <c r="A74" s="20" t="s">
        <v>68</v>
      </c>
      <c r="B74" s="21">
        <v>152222</v>
      </c>
      <c r="C74" s="21"/>
      <c r="D74" s="21"/>
      <c r="E74" s="21">
        <v>152222</v>
      </c>
      <c r="F74" s="25">
        <f t="shared" si="2"/>
        <v>3.3423938265030873E-3</v>
      </c>
    </row>
    <row r="75" spans="1:6" x14ac:dyDescent="0.35">
      <c r="A75" s="20" t="s">
        <v>94</v>
      </c>
      <c r="B75" s="21">
        <v>106682.5</v>
      </c>
      <c r="C75" s="21"/>
      <c r="D75" s="21">
        <v>37397.51</v>
      </c>
      <c r="E75" s="21">
        <v>144080.01</v>
      </c>
      <c r="F75" s="25">
        <f t="shared" si="2"/>
        <v>3.1636171903305899E-3</v>
      </c>
    </row>
    <row r="76" spans="1:6" x14ac:dyDescent="0.35">
      <c r="A76" s="20" t="s">
        <v>177</v>
      </c>
      <c r="B76" s="21">
        <v>74882.64</v>
      </c>
      <c r="C76" s="21"/>
      <c r="D76" s="21">
        <v>68402.880000000005</v>
      </c>
      <c r="E76" s="21">
        <v>143285.52000000002</v>
      </c>
      <c r="F76" s="25">
        <f t="shared" si="2"/>
        <v>3.1461722843957158E-3</v>
      </c>
    </row>
    <row r="77" spans="1:6" x14ac:dyDescent="0.35">
      <c r="A77" s="20" t="s">
        <v>112</v>
      </c>
      <c r="B77" s="21">
        <v>54727.92</v>
      </c>
      <c r="C77" s="21">
        <v>83229.119999999995</v>
      </c>
      <c r="D77" s="21"/>
      <c r="E77" s="21">
        <v>137957.03999999998</v>
      </c>
      <c r="F77" s="25">
        <f t="shared" si="2"/>
        <v>3.0291729107398365E-3</v>
      </c>
    </row>
    <row r="78" spans="1:6" x14ac:dyDescent="0.35">
      <c r="A78" s="20" t="s">
        <v>81</v>
      </c>
      <c r="B78" s="21">
        <v>54727.92</v>
      </c>
      <c r="C78" s="21">
        <v>78003.240000000005</v>
      </c>
      <c r="D78" s="21"/>
      <c r="E78" s="21">
        <v>132731.16</v>
      </c>
      <c r="F78" s="25">
        <f t="shared" si="2"/>
        <v>2.9144263626058879E-3</v>
      </c>
    </row>
    <row r="79" spans="1:6" x14ac:dyDescent="0.35">
      <c r="A79" s="20" t="s">
        <v>158</v>
      </c>
      <c r="B79" s="21">
        <v>61821.729999999996</v>
      </c>
      <c r="C79" s="21"/>
      <c r="D79" s="21">
        <v>68402.880000000005</v>
      </c>
      <c r="E79" s="21">
        <v>130224.61</v>
      </c>
      <c r="F79" s="25">
        <f t="shared" si="2"/>
        <v>2.8593891324694997E-3</v>
      </c>
    </row>
    <row r="80" spans="1:6" x14ac:dyDescent="0.35">
      <c r="A80" s="20" t="s">
        <v>176</v>
      </c>
      <c r="B80" s="21"/>
      <c r="C80" s="21"/>
      <c r="D80" s="21">
        <v>127200</v>
      </c>
      <c r="E80" s="21">
        <v>127200</v>
      </c>
      <c r="F80" s="25">
        <f t="shared" si="2"/>
        <v>2.7929766704628285E-3</v>
      </c>
    </row>
    <row r="81" spans="1:6" x14ac:dyDescent="0.35">
      <c r="A81" s="20" t="s">
        <v>141</v>
      </c>
      <c r="B81" s="21">
        <v>71376.7</v>
      </c>
      <c r="C81" s="21">
        <v>40898.32</v>
      </c>
      <c r="D81" s="21">
        <v>14717.12</v>
      </c>
      <c r="E81" s="21">
        <v>126992.13999999998</v>
      </c>
      <c r="F81" s="25">
        <f t="shared" si="2"/>
        <v>2.7884126128313626E-3</v>
      </c>
    </row>
    <row r="82" spans="1:6" x14ac:dyDescent="0.35">
      <c r="A82" s="20" t="s">
        <v>160</v>
      </c>
      <c r="B82" s="21">
        <v>90482.04</v>
      </c>
      <c r="C82" s="21"/>
      <c r="D82" s="21">
        <v>36036</v>
      </c>
      <c r="E82" s="21">
        <v>126518.04</v>
      </c>
      <c r="F82" s="25">
        <f t="shared" si="2"/>
        <v>2.7780026266720358E-3</v>
      </c>
    </row>
    <row r="83" spans="1:6" x14ac:dyDescent="0.35">
      <c r="A83" s="20" t="s">
        <v>66</v>
      </c>
      <c r="B83" s="21">
        <v>126149.78</v>
      </c>
      <c r="C83" s="21"/>
      <c r="D83" s="21"/>
      <c r="E83" s="21">
        <v>126149.78</v>
      </c>
      <c r="F83" s="25">
        <f t="shared" si="2"/>
        <v>2.7699166078932256E-3</v>
      </c>
    </row>
    <row r="84" spans="1:6" x14ac:dyDescent="0.35">
      <c r="A84" s="20" t="s">
        <v>167</v>
      </c>
      <c r="B84" s="21"/>
      <c r="C84" s="21"/>
      <c r="D84" s="21">
        <v>124595.32</v>
      </c>
      <c r="E84" s="21">
        <v>124595.32</v>
      </c>
      <c r="F84" s="25">
        <f t="shared" si="2"/>
        <v>2.7357847642205243E-3</v>
      </c>
    </row>
    <row r="85" spans="1:6" x14ac:dyDescent="0.35">
      <c r="A85" s="20" t="s">
        <v>49</v>
      </c>
      <c r="B85" s="21">
        <v>124526.69</v>
      </c>
      <c r="C85" s="21"/>
      <c r="D85" s="21"/>
      <c r="E85" s="21">
        <v>124526.69</v>
      </c>
      <c r="F85" s="25">
        <f t="shared" si="2"/>
        <v>2.7342778303455725E-3</v>
      </c>
    </row>
    <row r="86" spans="1:6" x14ac:dyDescent="0.35">
      <c r="A86" s="20" t="s">
        <v>76</v>
      </c>
      <c r="B86" s="21">
        <v>122184.9</v>
      </c>
      <c r="C86" s="21"/>
      <c r="D86" s="21"/>
      <c r="E86" s="21">
        <v>122184.9</v>
      </c>
      <c r="F86" s="25">
        <f t="shared" si="2"/>
        <v>2.6828582954625288E-3</v>
      </c>
    </row>
    <row r="87" spans="1:6" x14ac:dyDescent="0.35">
      <c r="A87" s="20" t="s">
        <v>136</v>
      </c>
      <c r="B87" s="21">
        <v>73749</v>
      </c>
      <c r="C87" s="21">
        <v>47044.800000000003</v>
      </c>
      <c r="D87" s="21"/>
      <c r="E87" s="21">
        <v>120793.8</v>
      </c>
      <c r="F87" s="25">
        <f t="shared" si="2"/>
        <v>2.652313406733906E-3</v>
      </c>
    </row>
    <row r="88" spans="1:6" x14ac:dyDescent="0.35">
      <c r="A88" s="20" t="s">
        <v>60</v>
      </c>
      <c r="B88" s="21">
        <v>57002.400000000001</v>
      </c>
      <c r="C88" s="21"/>
      <c r="D88" s="21">
        <v>63361.58</v>
      </c>
      <c r="E88" s="21">
        <v>120363.98000000001</v>
      </c>
      <c r="F88" s="25">
        <f t="shared" si="2"/>
        <v>2.642875692641938E-3</v>
      </c>
    </row>
    <row r="89" spans="1:6" x14ac:dyDescent="0.35">
      <c r="A89" s="20" t="s">
        <v>97</v>
      </c>
      <c r="B89" s="21">
        <v>114226.4</v>
      </c>
      <c r="C89" s="21"/>
      <c r="D89" s="21"/>
      <c r="E89" s="21">
        <v>114226.4</v>
      </c>
      <c r="F89" s="25">
        <f t="shared" si="2"/>
        <v>2.5081106159666289E-3</v>
      </c>
    </row>
    <row r="90" spans="1:6" x14ac:dyDescent="0.35">
      <c r="A90" s="20" t="s">
        <v>67</v>
      </c>
      <c r="B90" s="21"/>
      <c r="C90" s="21"/>
      <c r="D90" s="21">
        <v>113167.67999999999</v>
      </c>
      <c r="E90" s="21">
        <v>113167.67999999999</v>
      </c>
      <c r="F90" s="25">
        <f t="shared" si="2"/>
        <v>2.4848639158050537E-3</v>
      </c>
    </row>
    <row r="91" spans="1:6" x14ac:dyDescent="0.35">
      <c r="A91" s="20" t="s">
        <v>120</v>
      </c>
      <c r="B91" s="21"/>
      <c r="C91" s="21"/>
      <c r="D91" s="21">
        <v>106149</v>
      </c>
      <c r="E91" s="21">
        <v>106149</v>
      </c>
      <c r="F91" s="25">
        <f t="shared" si="2"/>
        <v>2.3307522059194874E-3</v>
      </c>
    </row>
    <row r="92" spans="1:6" x14ac:dyDescent="0.35">
      <c r="A92" s="20" t="s">
        <v>131</v>
      </c>
      <c r="B92" s="21">
        <v>29034.28</v>
      </c>
      <c r="C92" s="21">
        <v>69890.510000000009</v>
      </c>
      <c r="D92" s="21"/>
      <c r="E92" s="21">
        <v>98924.790000000008</v>
      </c>
      <c r="F92" s="25">
        <f t="shared" si="2"/>
        <v>2.1721275990600197E-3</v>
      </c>
    </row>
    <row r="93" spans="1:6" x14ac:dyDescent="0.35">
      <c r="A93" s="20" t="s">
        <v>147</v>
      </c>
      <c r="B93" s="21">
        <v>95016</v>
      </c>
      <c r="C93" s="21"/>
      <c r="D93" s="21"/>
      <c r="E93" s="21">
        <v>95016</v>
      </c>
      <c r="F93" s="25">
        <f t="shared" si="2"/>
        <v>2.0863008751627055E-3</v>
      </c>
    </row>
    <row r="94" spans="1:6" x14ac:dyDescent="0.35">
      <c r="A94" s="20" t="s">
        <v>102</v>
      </c>
      <c r="B94" s="21"/>
      <c r="C94" s="21"/>
      <c r="D94" s="21">
        <v>94365</v>
      </c>
      <c r="E94" s="21">
        <v>94365</v>
      </c>
      <c r="F94" s="25">
        <f t="shared" si="2"/>
        <v>2.0720066313539686E-3</v>
      </c>
    </row>
    <row r="95" spans="1:6" x14ac:dyDescent="0.35">
      <c r="A95" s="20" t="s">
        <v>137</v>
      </c>
      <c r="B95" s="21"/>
      <c r="C95" s="21"/>
      <c r="D95" s="21">
        <v>93376.8</v>
      </c>
      <c r="E95" s="21">
        <v>93376.8</v>
      </c>
      <c r="F95" s="25">
        <f t="shared" si="2"/>
        <v>2.050308364484854E-3</v>
      </c>
    </row>
    <row r="96" spans="1:6" x14ac:dyDescent="0.35">
      <c r="A96" s="20" t="s">
        <v>105</v>
      </c>
      <c r="B96" s="21"/>
      <c r="C96" s="21"/>
      <c r="D96" s="21">
        <v>91096.2</v>
      </c>
      <c r="E96" s="21">
        <v>91096.2</v>
      </c>
      <c r="F96" s="25">
        <f t="shared" si="2"/>
        <v>2.0002324006903765E-3</v>
      </c>
    </row>
    <row r="97" spans="1:6" x14ac:dyDescent="0.35">
      <c r="A97" s="20" t="s">
        <v>127</v>
      </c>
      <c r="B97" s="21"/>
      <c r="C97" s="21"/>
      <c r="D97" s="21">
        <v>90564.87</v>
      </c>
      <c r="E97" s="21">
        <v>90564.87</v>
      </c>
      <c r="F97" s="25">
        <f t="shared" si="2"/>
        <v>1.9885657946029788E-3</v>
      </c>
    </row>
    <row r="98" spans="1:6" x14ac:dyDescent="0.35">
      <c r="A98" s="20" t="s">
        <v>156</v>
      </c>
      <c r="B98" s="21"/>
      <c r="C98" s="21">
        <v>87918.6</v>
      </c>
      <c r="D98" s="21"/>
      <c r="E98" s="21">
        <v>87918.6</v>
      </c>
      <c r="F98" s="25">
        <f t="shared" ref="F98:F129" si="3">E98/E$135</f>
        <v>1.9304606816018337E-3</v>
      </c>
    </row>
    <row r="99" spans="1:6" x14ac:dyDescent="0.35">
      <c r="A99" s="20" t="s">
        <v>73</v>
      </c>
      <c r="B99" s="21">
        <v>85176</v>
      </c>
      <c r="C99" s="21"/>
      <c r="D99" s="21"/>
      <c r="E99" s="21">
        <v>85176</v>
      </c>
      <c r="F99" s="25">
        <f t="shared" si="3"/>
        <v>1.8702404157495431E-3</v>
      </c>
    </row>
    <row r="100" spans="1:6" x14ac:dyDescent="0.35">
      <c r="A100" s="20" t="s">
        <v>134</v>
      </c>
      <c r="B100" s="21"/>
      <c r="C100" s="21">
        <v>84915</v>
      </c>
      <c r="D100" s="21"/>
      <c r="E100" s="21">
        <v>84915</v>
      </c>
      <c r="F100" s="25">
        <f t="shared" si="3"/>
        <v>1.8645095438077914E-3</v>
      </c>
    </row>
    <row r="101" spans="1:6" x14ac:dyDescent="0.35">
      <c r="A101" s="20" t="s">
        <v>166</v>
      </c>
      <c r="B101" s="21">
        <v>47500</v>
      </c>
      <c r="C101" s="21">
        <v>34375</v>
      </c>
      <c r="D101" s="21"/>
      <c r="E101" s="21">
        <v>81875</v>
      </c>
      <c r="F101" s="25">
        <f t="shared" si="3"/>
        <v>1.7977591579728309E-3</v>
      </c>
    </row>
    <row r="102" spans="1:6" x14ac:dyDescent="0.35">
      <c r="A102" s="20" t="s">
        <v>171</v>
      </c>
      <c r="B102" s="21">
        <v>19681.2</v>
      </c>
      <c r="C102" s="21">
        <v>59440.160000000003</v>
      </c>
      <c r="D102" s="21"/>
      <c r="E102" s="21">
        <v>79121.36</v>
      </c>
      <c r="F102" s="25">
        <f t="shared" si="3"/>
        <v>1.7372964828246133E-3</v>
      </c>
    </row>
    <row r="103" spans="1:6" x14ac:dyDescent="0.35">
      <c r="A103" s="20" t="s">
        <v>51</v>
      </c>
      <c r="B103" s="21"/>
      <c r="C103" s="21"/>
      <c r="D103" s="21">
        <v>78964.7</v>
      </c>
      <c r="E103" s="21">
        <v>78964.7</v>
      </c>
      <c r="F103" s="25">
        <f t="shared" si="3"/>
        <v>1.7338566422177367E-3</v>
      </c>
    </row>
    <row r="104" spans="1:6" s="17" customFormat="1" ht="9.65" customHeight="1" x14ac:dyDescent="0.35">
      <c r="A104" s="20" t="s">
        <v>59</v>
      </c>
      <c r="B104" s="21"/>
      <c r="C104" s="21">
        <v>78232</v>
      </c>
      <c r="D104" s="21"/>
      <c r="E104" s="21">
        <v>78232</v>
      </c>
      <c r="F104" s="25">
        <f t="shared" si="3"/>
        <v>1.7177684817896856E-3</v>
      </c>
    </row>
    <row r="105" spans="1:6" s="17" customFormat="1" ht="12.65" customHeight="1" x14ac:dyDescent="0.35">
      <c r="A105" s="20" t="s">
        <v>138</v>
      </c>
      <c r="B105" s="21"/>
      <c r="C105" s="21"/>
      <c r="D105" s="21">
        <v>77047.929999999993</v>
      </c>
      <c r="E105" s="21">
        <v>77047.929999999993</v>
      </c>
      <c r="F105" s="25">
        <f t="shared" si="3"/>
        <v>1.6917694260806058E-3</v>
      </c>
    </row>
    <row r="106" spans="1:6" ht="18.5" customHeight="1" x14ac:dyDescent="0.35">
      <c r="A106" s="20" t="s">
        <v>71</v>
      </c>
      <c r="B106" s="21"/>
      <c r="C106" s="21"/>
      <c r="D106" s="21">
        <v>75245.040000000008</v>
      </c>
      <c r="E106" s="21">
        <v>75245.040000000008</v>
      </c>
      <c r="F106" s="25">
        <f t="shared" si="3"/>
        <v>1.6521827145286349E-3</v>
      </c>
    </row>
    <row r="107" spans="1:6" ht="18.5" customHeight="1" x14ac:dyDescent="0.35">
      <c r="A107" s="20" t="s">
        <v>129</v>
      </c>
      <c r="B107" s="21"/>
      <c r="C107" s="21">
        <v>1817.2</v>
      </c>
      <c r="D107" s="21">
        <v>69168</v>
      </c>
      <c r="E107" s="21">
        <v>70985.2</v>
      </c>
      <c r="F107" s="25">
        <f t="shared" si="3"/>
        <v>1.5586478580828457E-3</v>
      </c>
    </row>
    <row r="108" spans="1:6" x14ac:dyDescent="0.35">
      <c r="A108" s="20" t="s">
        <v>100</v>
      </c>
      <c r="B108" s="21"/>
      <c r="C108" s="21"/>
      <c r="D108" s="21">
        <v>69168</v>
      </c>
      <c r="E108" s="21">
        <v>69168</v>
      </c>
      <c r="F108" s="25">
        <f t="shared" si="3"/>
        <v>1.5187469366554475E-3</v>
      </c>
    </row>
    <row r="109" spans="1:6" x14ac:dyDescent="0.35">
      <c r="A109" s="20" t="s">
        <v>64</v>
      </c>
      <c r="B109" s="21">
        <v>68402.880000000005</v>
      </c>
      <c r="C109" s="21"/>
      <c r="D109" s="21"/>
      <c r="E109" s="21">
        <v>68402.880000000005</v>
      </c>
      <c r="F109" s="25">
        <f t="shared" si="3"/>
        <v>1.5019469184942486E-3</v>
      </c>
    </row>
    <row r="110" spans="1:6" x14ac:dyDescent="0.35">
      <c r="A110" s="20" t="s">
        <v>122</v>
      </c>
      <c r="B110" s="21"/>
      <c r="C110" s="21">
        <v>68402.880000000005</v>
      </c>
      <c r="D110" s="21"/>
      <c r="E110" s="21">
        <v>68402.880000000005</v>
      </c>
      <c r="F110" s="25">
        <f t="shared" si="3"/>
        <v>1.5019469184942486E-3</v>
      </c>
    </row>
    <row r="111" spans="1:6" x14ac:dyDescent="0.35">
      <c r="A111" s="20" t="s">
        <v>152</v>
      </c>
      <c r="B111" s="21"/>
      <c r="C111" s="21"/>
      <c r="D111" s="21">
        <v>68402.880000000005</v>
      </c>
      <c r="E111" s="21">
        <v>68402.880000000005</v>
      </c>
      <c r="F111" s="25">
        <f t="shared" si="3"/>
        <v>1.5019469184942486E-3</v>
      </c>
    </row>
    <row r="112" spans="1:6" x14ac:dyDescent="0.35">
      <c r="A112" s="20" t="s">
        <v>87</v>
      </c>
      <c r="B112" s="21">
        <v>68101.7</v>
      </c>
      <c r="C112" s="21"/>
      <c r="D112" s="21"/>
      <c r="E112" s="21">
        <v>68101.7</v>
      </c>
      <c r="F112" s="25">
        <f t="shared" si="3"/>
        <v>1.4953337996765597E-3</v>
      </c>
    </row>
    <row r="113" spans="1:6" x14ac:dyDescent="0.35">
      <c r="A113" s="20" t="s">
        <v>139</v>
      </c>
      <c r="B113" s="21"/>
      <c r="C113" s="21"/>
      <c r="D113" s="21">
        <v>58880.639999999999</v>
      </c>
      <c r="E113" s="21">
        <v>58880.639999999999</v>
      </c>
      <c r="F113" s="25">
        <f t="shared" si="3"/>
        <v>1.2928636309899406E-3</v>
      </c>
    </row>
    <row r="114" spans="1:6" x14ac:dyDescent="0.35">
      <c r="A114" s="20" t="s">
        <v>159</v>
      </c>
      <c r="B114" s="21">
        <v>44517</v>
      </c>
      <c r="C114" s="21"/>
      <c r="D114" s="21">
        <v>12254.4</v>
      </c>
      <c r="E114" s="21">
        <v>56771.4</v>
      </c>
      <c r="F114" s="25">
        <f t="shared" si="3"/>
        <v>1.2465502810496338E-3</v>
      </c>
    </row>
    <row r="115" spans="1:6" x14ac:dyDescent="0.35">
      <c r="A115" s="20" t="s">
        <v>91</v>
      </c>
      <c r="B115" s="21">
        <v>28601.040000000001</v>
      </c>
      <c r="C115" s="21"/>
      <c r="D115" s="21">
        <v>22800.959999999999</v>
      </c>
      <c r="E115" s="21">
        <v>51402</v>
      </c>
      <c r="F115" s="25">
        <f t="shared" si="3"/>
        <v>1.1286524120686346E-3</v>
      </c>
    </row>
    <row r="116" spans="1:6" x14ac:dyDescent="0.35">
      <c r="A116" s="20" t="s">
        <v>178</v>
      </c>
      <c r="B116" s="21">
        <v>51336</v>
      </c>
      <c r="C116" s="21"/>
      <c r="D116" s="21"/>
      <c r="E116" s="21">
        <v>51336</v>
      </c>
      <c r="F116" s="25">
        <f t="shared" si="3"/>
        <v>1.1272032260603755E-3</v>
      </c>
    </row>
    <row r="117" spans="1:6" x14ac:dyDescent="0.35">
      <c r="A117" s="20" t="s">
        <v>55</v>
      </c>
      <c r="B117" s="21">
        <v>28000</v>
      </c>
      <c r="C117" s="21"/>
      <c r="D117" s="21">
        <v>23056</v>
      </c>
      <c r="E117" s="21">
        <v>51056</v>
      </c>
      <c r="F117" s="25">
        <f t="shared" si="3"/>
        <v>1.1210551642071554E-3</v>
      </c>
    </row>
    <row r="118" spans="1:6" x14ac:dyDescent="0.35">
      <c r="A118" s="20" t="s">
        <v>175</v>
      </c>
      <c r="B118" s="21">
        <v>39362.400000000001</v>
      </c>
      <c r="C118" s="21"/>
      <c r="D118" s="21"/>
      <c r="E118" s="21">
        <v>39362.400000000001</v>
      </c>
      <c r="F118" s="25">
        <f t="shared" si="3"/>
        <v>8.6429453532567641E-4</v>
      </c>
    </row>
    <row r="119" spans="1:6" x14ac:dyDescent="0.35">
      <c r="A119" s="20" t="s">
        <v>70</v>
      </c>
      <c r="B119" s="21">
        <v>36999.82</v>
      </c>
      <c r="C119" s="21"/>
      <c r="D119" s="21"/>
      <c r="E119" s="21">
        <v>36999.82</v>
      </c>
      <c r="F119" s="25">
        <f t="shared" si="3"/>
        <v>8.1241850685003121E-4</v>
      </c>
    </row>
    <row r="120" spans="1:6" x14ac:dyDescent="0.35">
      <c r="A120" s="20" t="s">
        <v>88</v>
      </c>
      <c r="B120" s="21">
        <v>34500.959999999999</v>
      </c>
      <c r="C120" s="21"/>
      <c r="D120" s="21"/>
      <c r="E120" s="21">
        <v>34500.959999999999</v>
      </c>
      <c r="F120" s="25">
        <f t="shared" si="3"/>
        <v>7.5755012884096877E-4</v>
      </c>
    </row>
    <row r="121" spans="1:6" x14ac:dyDescent="0.35">
      <c r="A121" s="20" t="s">
        <v>74</v>
      </c>
      <c r="B121" s="21">
        <v>28501.200000000001</v>
      </c>
      <c r="C121" s="21"/>
      <c r="D121" s="21"/>
      <c r="E121" s="21">
        <v>28501.200000000001</v>
      </c>
      <c r="F121" s="25">
        <f t="shared" si="3"/>
        <v>6.2581121603927023E-4</v>
      </c>
    </row>
    <row r="122" spans="1:6" x14ac:dyDescent="0.35">
      <c r="A122" s="20" t="s">
        <v>93</v>
      </c>
      <c r="B122" s="21"/>
      <c r="C122" s="21">
        <v>28501.200000000001</v>
      </c>
      <c r="D122" s="21"/>
      <c r="E122" s="21">
        <v>28501.200000000001</v>
      </c>
      <c r="F122" s="25">
        <f t="shared" si="3"/>
        <v>6.2581121603927023E-4</v>
      </c>
    </row>
    <row r="123" spans="1:6" x14ac:dyDescent="0.35">
      <c r="A123" s="20" t="s">
        <v>86</v>
      </c>
      <c r="B123" s="21"/>
      <c r="C123" s="21">
        <v>27571</v>
      </c>
      <c r="D123" s="21"/>
      <c r="E123" s="21">
        <v>27571</v>
      </c>
      <c r="F123" s="25">
        <f t="shared" si="3"/>
        <v>6.0538647626832271E-4</v>
      </c>
    </row>
    <row r="124" spans="1:6" x14ac:dyDescent="0.35">
      <c r="A124" s="20" t="s">
        <v>140</v>
      </c>
      <c r="B124" s="21"/>
      <c r="C124" s="21"/>
      <c r="D124" s="21">
        <v>27451.200000000001</v>
      </c>
      <c r="E124" s="21">
        <v>27451.200000000001</v>
      </c>
      <c r="F124" s="25">
        <f t="shared" si="3"/>
        <v>6.02755984089695E-4</v>
      </c>
    </row>
    <row r="125" spans="1:6" x14ac:dyDescent="0.35">
      <c r="A125" s="20" t="s">
        <v>48</v>
      </c>
      <c r="B125" s="21"/>
      <c r="C125" s="21">
        <v>23800</v>
      </c>
      <c r="D125" s="21"/>
      <c r="E125" s="21">
        <v>23800</v>
      </c>
      <c r="F125" s="25">
        <f t="shared" si="3"/>
        <v>5.2258525752370538E-4</v>
      </c>
    </row>
    <row r="126" spans="1:6" x14ac:dyDescent="0.35">
      <c r="A126" s="20" t="s">
        <v>124</v>
      </c>
      <c r="B126" s="21">
        <v>5023.2</v>
      </c>
      <c r="C126" s="21">
        <v>10046.4</v>
      </c>
      <c r="D126" s="21"/>
      <c r="E126" s="21">
        <v>15069.599999999999</v>
      </c>
      <c r="F126" s="25">
        <f t="shared" si="3"/>
        <v>3.3088868894030373E-4</v>
      </c>
    </row>
    <row r="127" spans="1:6" x14ac:dyDescent="0.35">
      <c r="A127" s="20" t="s">
        <v>78</v>
      </c>
      <c r="B127" s="21"/>
      <c r="C127" s="21"/>
      <c r="D127" s="21">
        <v>13370.32</v>
      </c>
      <c r="E127" s="21">
        <v>13370.32</v>
      </c>
      <c r="F127" s="25">
        <f t="shared" si="3"/>
        <v>2.9357697984766165E-4</v>
      </c>
    </row>
    <row r="128" spans="1:6" x14ac:dyDescent="0.35">
      <c r="A128" s="20" t="s">
        <v>103</v>
      </c>
      <c r="B128" s="21">
        <v>7479.32</v>
      </c>
      <c r="C128" s="21">
        <v>5220.21</v>
      </c>
      <c r="D128" s="21"/>
      <c r="E128" s="21">
        <v>12699.529999999999</v>
      </c>
      <c r="F128" s="25">
        <f t="shared" si="3"/>
        <v>2.7884819981008492E-4</v>
      </c>
    </row>
    <row r="129" spans="1:6" x14ac:dyDescent="0.35">
      <c r="A129" s="20" t="s">
        <v>148</v>
      </c>
      <c r="B129" s="21"/>
      <c r="C129" s="21">
        <v>11600.16</v>
      </c>
      <c r="D129" s="21"/>
      <c r="E129" s="21">
        <v>11600.16</v>
      </c>
      <c r="F129" s="25">
        <f t="shared" si="3"/>
        <v>2.5470893281160441E-4</v>
      </c>
    </row>
    <row r="130" spans="1:6" x14ac:dyDescent="0.35">
      <c r="A130" s="20" t="s">
        <v>108</v>
      </c>
      <c r="B130" s="21">
        <v>9300.24</v>
      </c>
      <c r="C130" s="21"/>
      <c r="D130" s="21"/>
      <c r="E130" s="21">
        <v>9300.24</v>
      </c>
      <c r="F130" s="25">
        <f t="shared" ref="F130:F161" si="4">E130/E$135</f>
        <v>2.0420875274925485E-4</v>
      </c>
    </row>
    <row r="131" spans="1:6" x14ac:dyDescent="0.35">
      <c r="A131" s="20" t="s">
        <v>173</v>
      </c>
      <c r="B131" s="21"/>
      <c r="C131" s="21">
        <v>9249.9500000000007</v>
      </c>
      <c r="D131" s="21"/>
      <c r="E131" s="21">
        <v>9249.9500000000007</v>
      </c>
      <c r="F131" s="25">
        <f t="shared" si="4"/>
        <v>2.0310451692568901E-4</v>
      </c>
    </row>
    <row r="132" spans="1:6" x14ac:dyDescent="0.35">
      <c r="A132" s="20" t="s">
        <v>57</v>
      </c>
      <c r="B132" s="21">
        <v>6500</v>
      </c>
      <c r="C132" s="21"/>
      <c r="D132" s="21"/>
      <c r="E132" s="21">
        <v>6500</v>
      </c>
      <c r="F132" s="25">
        <f t="shared" si="4"/>
        <v>1.4272286444975147E-4</v>
      </c>
    </row>
    <row r="133" spans="1:6" x14ac:dyDescent="0.35">
      <c r="A133" s="20" t="s">
        <v>165</v>
      </c>
      <c r="B133" s="21"/>
      <c r="C133" s="21"/>
      <c r="D133" s="21">
        <v>2280.1</v>
      </c>
      <c r="E133" s="21">
        <v>2280.1</v>
      </c>
      <c r="F133" s="25">
        <f t="shared" si="4"/>
        <v>5.006498511259666E-5</v>
      </c>
    </row>
    <row r="134" spans="1:6" x14ac:dyDescent="0.35">
      <c r="A134" s="20" t="s">
        <v>53</v>
      </c>
      <c r="B134" s="21">
        <v>467.8</v>
      </c>
      <c r="C134" s="21">
        <v>262.39999999999998</v>
      </c>
      <c r="D134" s="21">
        <v>467.8</v>
      </c>
      <c r="E134" s="21">
        <v>1198</v>
      </c>
      <c r="F134" s="25">
        <f t="shared" si="4"/>
        <v>2.630492178627727E-5</v>
      </c>
    </row>
    <row r="135" spans="1:6" x14ac:dyDescent="0.35">
      <c r="A135" s="22" t="s">
        <v>43</v>
      </c>
      <c r="B135" s="28">
        <v>16008192.379999997</v>
      </c>
      <c r="C135" s="28">
        <v>14158643.74</v>
      </c>
      <c r="D135" s="28">
        <v>15375971.790000001</v>
      </c>
      <c r="E135" s="28">
        <v>45542807.910000011</v>
      </c>
      <c r="F135" s="26"/>
    </row>
    <row r="139" spans="1:6" s="18" customFormat="1" ht="18.5" customHeight="1" x14ac:dyDescent="0.35">
      <c r="A139" s="12" t="s">
        <v>5</v>
      </c>
      <c r="B139" s="13">
        <v>90</v>
      </c>
      <c r="C139" s="13">
        <v>67</v>
      </c>
      <c r="D139" s="13">
        <v>73</v>
      </c>
      <c r="E139" s="14">
        <v>133</v>
      </c>
      <c r="F139" s="23"/>
    </row>
    <row r="140" spans="1:6" s="18" customFormat="1" ht="18.5" customHeight="1" x14ac:dyDescent="0.35">
      <c r="A140" s="12" t="s">
        <v>34</v>
      </c>
      <c r="B140" s="13">
        <v>136</v>
      </c>
      <c r="C140" s="13">
        <v>116</v>
      </c>
      <c r="D140" s="13">
        <v>127</v>
      </c>
      <c r="E140" s="13"/>
      <c r="F140" s="23"/>
    </row>
    <row r="141" spans="1:6" s="18" customFormat="1" x14ac:dyDescent="0.35">
      <c r="A141" s="12" t="s">
        <v>32</v>
      </c>
      <c r="B141" s="13"/>
      <c r="C141" s="13"/>
      <c r="D141" s="13"/>
      <c r="E141" s="14"/>
      <c r="F141" s="23"/>
    </row>
    <row r="142" spans="1:6" s="18" customFormat="1" x14ac:dyDescent="0.35">
      <c r="A142" s="12" t="s">
        <v>33</v>
      </c>
      <c r="B142" s="13"/>
      <c r="C142" s="13"/>
      <c r="D142" s="13"/>
      <c r="E142" s="14"/>
      <c r="F142" s="23"/>
    </row>
  </sheetData>
  <autoFilter ref="A1:F1">
    <sortState ref="A2:F135">
      <sortCondition descending="1" ref="F1"/>
    </sortState>
  </autoFilter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4" sqref="B4"/>
    </sheetView>
  </sheetViews>
  <sheetFormatPr defaultRowHeight="14.5" x14ac:dyDescent="0.35"/>
  <cols>
    <col min="1" max="10" width="20" customWidth="1"/>
  </cols>
  <sheetData>
    <row r="1" spans="1:10" ht="21" x14ac:dyDescent="0.5">
      <c r="A1" s="31" t="s">
        <v>7</v>
      </c>
      <c r="B1" s="32"/>
      <c r="C1" s="32"/>
      <c r="D1" s="32"/>
      <c r="E1" s="32"/>
      <c r="F1" s="32"/>
      <c r="G1" s="32"/>
      <c r="H1" s="32"/>
      <c r="I1" s="32"/>
      <c r="J1" s="32"/>
    </row>
    <row r="3" spans="1:10" x14ac:dyDescent="0.35">
      <c r="A3" s="1" t="s">
        <v>8</v>
      </c>
      <c r="B3" s="1" t="s">
        <v>14</v>
      </c>
      <c r="C3" s="1" t="s">
        <v>15</v>
      </c>
      <c r="D3" s="1"/>
      <c r="E3" s="1" t="s">
        <v>16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35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 t="s">
        <v>18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5">
      <c r="A6" s="2" t="s">
        <v>19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2" t="s">
        <v>20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2" t="s">
        <v>22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4" t="s">
        <v>29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Summary</vt:lpstr>
      <vt:lpstr>Customerwise Sales</vt:lpstr>
      <vt:lpstr>Planning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meghran</dc:creator>
  <cp:lastModifiedBy>Hitesh Jain</cp:lastModifiedBy>
  <cp:lastPrinted>2026-07-13T12:02:07Z</cp:lastPrinted>
  <dcterms:created xsi:type="dcterms:W3CDTF">2026-07-03T03:50:45Z</dcterms:created>
  <dcterms:modified xsi:type="dcterms:W3CDTF">2026-07-14T14:29:35Z</dcterms:modified>
</cp:coreProperties>
</file>