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PL SALES\OneDrive\Desktop\Marketing Person 1st Quarter Sales Data .xlsx\"/>
    </mc:Choice>
  </mc:AlternateContent>
  <bookViews>
    <workbookView xWindow="0" yWindow="0" windowWidth="23004" windowHeight="7668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Sales'!$A$1:$F$1</definedName>
  </definedNames>
  <calcPr calcId="162913"/>
</workbook>
</file>

<file path=xl/calcChain.xml><?xml version="1.0" encoding="utf-8"?>
<calcChain xmlns="http://schemas.openxmlformats.org/spreadsheetml/2006/main">
  <c r="E16" i="1" l="1"/>
  <c r="F34" i="4" l="1"/>
  <c r="F39" i="4"/>
  <c r="F43" i="4"/>
  <c r="F25" i="4"/>
  <c r="F9" i="4"/>
  <c r="F57" i="4"/>
  <c r="F29" i="4"/>
  <c r="F23" i="4"/>
  <c r="F8" i="4"/>
  <c r="F55" i="4"/>
  <c r="F24" i="4"/>
  <c r="F33" i="4"/>
  <c r="F42" i="4"/>
  <c r="F48" i="4"/>
  <c r="F47" i="4"/>
  <c r="F41" i="4"/>
  <c r="F31" i="4"/>
  <c r="F10" i="4"/>
  <c r="F38" i="4"/>
  <c r="F51" i="4"/>
  <c r="F19" i="4"/>
  <c r="F14" i="4"/>
  <c r="F37" i="4"/>
  <c r="F11" i="4"/>
  <c r="F12" i="4"/>
  <c r="F54" i="4"/>
  <c r="F53" i="4"/>
  <c r="F22" i="4"/>
  <c r="F13" i="4"/>
  <c r="F32" i="4"/>
  <c r="F30" i="4"/>
  <c r="F50" i="4"/>
  <c r="F3" i="4"/>
  <c r="F26" i="4"/>
  <c r="F46" i="4"/>
  <c r="F36" i="4"/>
  <c r="F5" i="4"/>
  <c r="F52" i="4"/>
  <c r="F16" i="4"/>
  <c r="F21" i="4"/>
  <c r="F40" i="4"/>
  <c r="F7" i="4"/>
  <c r="F44" i="4"/>
  <c r="F20" i="4"/>
  <c r="F35" i="4"/>
  <c r="F4" i="4"/>
  <c r="F15" i="4"/>
  <c r="F6" i="4"/>
  <c r="F56" i="4"/>
  <c r="F18" i="4"/>
  <c r="F17" i="4"/>
  <c r="F27" i="4"/>
  <c r="F2" i="4"/>
  <c r="F49" i="4"/>
  <c r="F28" i="4"/>
  <c r="F45" i="4"/>
  <c r="E21" i="1" l="1"/>
  <c r="E22" i="1"/>
  <c r="E7" i="1"/>
  <c r="E6" i="1"/>
  <c r="E12" i="1"/>
  <c r="E10" i="1"/>
  <c r="E9" i="1"/>
  <c r="E26" i="1" l="1"/>
  <c r="E8" i="1" l="1"/>
  <c r="E17" i="1"/>
  <c r="E23" i="1" l="1"/>
  <c r="E5" i="1"/>
  <c r="E11" i="1"/>
  <c r="E4" i="1"/>
  <c r="E15" i="1"/>
  <c r="E13" i="1"/>
  <c r="E14" i="1"/>
</calcChain>
</file>

<file path=xl/sharedStrings.xml><?xml version="1.0" encoding="utf-8"?>
<sst xmlns="http://schemas.openxmlformats.org/spreadsheetml/2006/main" count="117" uniqueCount="116">
  <si>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</si>
  <si>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</si>
  <si>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</si>
  <si>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</si>
  <si>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</si>
  <si>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</si>
  <si>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</si>
  <si>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</si>
  <si>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</si>
  <si>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</si>
  <si>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</si>
  <si>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</si>
  <si>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</si>
  <si>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</si>
  <si>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</si>
  <si>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</si>
  <si>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</si>
  <si>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</si>
  <si>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</si>
  <si>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</si>
  <si>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</si>
  <si>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</si>
  <si>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</si>
  <si>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</si>
  <si>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</si>
  <si>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</si>
  <si>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</si>
  <si>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</si>
  <si>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</si>
  <si>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</si>
  <si>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</si>
  <si>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</si>
  <si>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</si>
  <si>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</si>
  <si>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</si>
  <si>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</si>
  <si>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</si>
  <si>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</si>
  <si>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</si>
  <si>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</si>
  <si>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</si>
  <si>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</si>
  <si>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Atul Sharma Template - Business at a Glance (Quarter 1)</t>
  </si>
  <si>
    <t>ABHINAV EXPORTS</t>
  </si>
  <si>
    <t>ALEPH BOOK COMPANY PRIVATE LIMITED</t>
  </si>
  <si>
    <t>ANAND DIARIES PVT. LTD. (HARYANA)</t>
  </si>
  <si>
    <t>AROGYA DHAM</t>
  </si>
  <si>
    <t>ASN IMPEX PROP.NITIN JAIN</t>
  </si>
  <si>
    <t>CONVERGIA DIGITAL EDUCATION PRIVATE LIMITED</t>
  </si>
  <si>
    <t>CRESCENT DOTS-N-LINES PVT. LTD. ( NARAINA )</t>
  </si>
  <si>
    <t>D.R.BATRA &amp; SONS PVT LTD</t>
  </si>
  <si>
    <t>FRIENDS COLOR IMAGES PVT. LTD. (MANESAR)</t>
  </si>
  <si>
    <t>GALAXY OFFSET INDIA PRIVATE LIMITED ( RJ)</t>
  </si>
  <si>
    <t>GOODWILL PRINTERS</t>
  </si>
  <si>
    <t>GOPSONS  PRINTERS PVT. LTD.</t>
  </si>
  <si>
    <t>INKFINITY PRINTS PRIVATE LIMITED</t>
  </si>
  <si>
    <t>JAMBUI PRINTS PRIVATE LIMITED</t>
  </si>
  <si>
    <t>JAY CHANDA PAPER SALES PROP.PARDEEP KUMAR JAIN</t>
  </si>
  <si>
    <t>JR PRINTS PROP.HARNEET KAUR</t>
  </si>
  <si>
    <t>KRIRIT INDIA EDUCATION SOLUTIONS PRIVATE LIMITED</t>
  </si>
  <si>
    <t>MAGIC INTERNATIONAL PVT. LTD(NOIDA)</t>
  </si>
  <si>
    <t>MANIPAL TECHNOLOGIES LIMITED</t>
  </si>
  <si>
    <t xml:space="preserve">MEHTA PRINT ARTS PRIVATE LIMITED_x000D_
_x000D_
</t>
  </si>
  <si>
    <t>NAGEEN PRAKASHAN PRIVATE LIMITED</t>
  </si>
  <si>
    <t>NALINI RULLING WORKS PROP.DEVYAN PADAMSHI GALA</t>
  </si>
  <si>
    <t>NATURENURTURE SOLUTIONS PRIVATE LIMITED</t>
  </si>
  <si>
    <t>NEW SARASWATI HOUSE (INDIA) PVT. LTD.</t>
  </si>
  <si>
    <t>NUTECH PRINT SERVICES PRIVATE LIMITED</t>
  </si>
  <si>
    <t>NUTECH PRINT SERVICES PRIVATE LIMITED (BOYER)</t>
  </si>
  <si>
    <t>OFFICENOW INDIA PRIVATE LIMITED</t>
  </si>
  <si>
    <t>OSWAL ARTS &amp; CRAFTS (SAHIBABAD)</t>
  </si>
  <si>
    <t>PAPER &amp; BOARD ROLL CONVERTORS</t>
  </si>
  <si>
    <t>PAPIER365 GLOBAL PRIVATE LIMITED</t>
  </si>
  <si>
    <t>PARSHVI GRAPHICS PRIVATE LIMITED</t>
  </si>
  <si>
    <t>PAY ENTERPRISES PROP RAJESH KUMAR SHARMA (HR)</t>
  </si>
  <si>
    <t>RATIONAL BUSINESS CORPORATION PVT .LTD.</t>
  </si>
  <si>
    <t>RATIONAL BUSINESS CORPORATION PVT. LTD. RASOI</t>
  </si>
  <si>
    <t>RNR PAPERS INDIA (BOYER)</t>
  </si>
  <si>
    <t xml:space="preserve">RNR PAPERS INDIA PROP.RAKSHIT SHROFF_x000D_
</t>
  </si>
  <si>
    <t>RUPA PUBLICATION INDIA PVT LTD</t>
  </si>
  <si>
    <t>S. CHAND AND COMPANY LIMITED</t>
  </si>
  <si>
    <t>SAI PRINTO PACK PVT.LTD.</t>
  </si>
  <si>
    <t>SAL PAPERS PVT. LTD.</t>
  </si>
  <si>
    <t>SAURABH PRINTERS P. LTD (G.NOIDA)</t>
  </si>
  <si>
    <t>SCHOLASTIC INDIA PVT LTD.</t>
  </si>
  <si>
    <t>SGM PAPER PRODUCTS</t>
  </si>
  <si>
    <t>STERLING GRAPHICS PVT. LTD. (HR)</t>
  </si>
  <si>
    <t>STP PAPER INDUSTRIES PRIVATE LIMITED</t>
  </si>
  <si>
    <t>SUPERTECH PAPER PVT.LTD.</t>
  </si>
  <si>
    <t>THOMSON PRESS INDIA PRIVATE LTD ( NOIDA)</t>
  </si>
  <si>
    <t>THOMSON PRESS INDIA PRIVATE LTD 100% EOU</t>
  </si>
  <si>
    <t>THOMSON PRESS INDIA PRIVATE LTD 208A-209 (100% EOU)</t>
  </si>
  <si>
    <t>UFLEX LIMITED</t>
  </si>
  <si>
    <t>UTILITY FORMS PRIVATE LIMITED (NOIDA)</t>
  </si>
  <si>
    <t>UTILITY FORMS PVT. LTD.</t>
  </si>
  <si>
    <t>UTILITY FORMS PVT. LTD.(MUMBAI).</t>
  </si>
  <si>
    <t>VIKAS PUBLISHING HOUSE PVT. LTD. SAHIBABAD</t>
  </si>
  <si>
    <t>VISTA COATS PROP. VARUN MANOCHA</t>
  </si>
  <si>
    <t>ZIRCON SECURE PRIVATE LIMITED</t>
  </si>
  <si>
    <t>Average Debtor (Closing Debtor+Opning Debtor)/2</t>
  </si>
  <si>
    <t>Percentage</t>
  </si>
  <si>
    <t>Client Name</t>
  </si>
  <si>
    <t>Cosmo / Amazing Media (Sheet)</t>
  </si>
  <si>
    <t>Cosmo / Amazing Media (Kgs)</t>
  </si>
  <si>
    <t>April Fine (Board)/Paper And Board  (Kg.)</t>
  </si>
  <si>
    <t>April Fine (Paper)/Paper And Board  (Kg.)</t>
  </si>
  <si>
    <t>Satia Paper  (Kg.)</t>
  </si>
  <si>
    <t>Sudhir Paper  (Kg.)</t>
  </si>
  <si>
    <t>Pud (Paper)  (Kg.)</t>
  </si>
  <si>
    <t>Binding Board  (Kg.)</t>
  </si>
  <si>
    <t>Boyer  (Kg.)</t>
  </si>
  <si>
    <t>Cpp/ Paper And Board  (Kg.)</t>
  </si>
  <si>
    <t>Poster Paper  (Kg.)</t>
  </si>
  <si>
    <t>Adhesive   (Kg.)</t>
  </si>
  <si>
    <t>Sara Lam / Amazing Media  (Kg.)</t>
  </si>
  <si>
    <t>Artica  (Kg.)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</si>
</sst>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0" xfId="0"/>
    <xf numFmtId="0" fontId="0" fillId="0" borderId="2" xfId="0" applyBorder="1"/>
    <xf numFmtId="0" fontId="8" fillId="0" borderId="2" xfId="0" applyFont="1" applyBorder="1"/>
    <xf numFmtId="164" fontId="0" fillId="0" borderId="2" xfId="1" applyFont="1" applyBorder="1"/>
    <xf numFmtId="164" fontId="6" fillId="0" borderId="2" xfId="1" applyFont="1" applyBorder="1"/>
    <xf numFmtId="164" fontId="6" fillId="0" borderId="2" xfId="1" applyFont="1" applyBorder="1" applyAlignment="1">
      <alignment vertical="center"/>
    </xf>
    <xf numFmtId="0" fontId="0" fillId="3" borderId="2" xfId="0" applyFill="1" applyBorder="1"/>
    <xf numFmtId="164" fontId="0" fillId="3" borderId="2" xfId="1" applyFont="1" applyFill="1" applyBorder="1"/>
    <xf numFmtId="164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10" fontId="0" fillId="0" borderId="2" xfId="2" applyNumberFormat="1" applyFont="1" applyBorder="1"/>
    <xf numFmtId="0" fontId="6" fillId="4" borderId="2" xfId="0" applyFont="1" applyFill="1" applyBorder="1" applyAlignment="1">
      <alignment vertical="center"/>
    </xf>
    <xf numFmtId="0" fontId="0" fillId="0" borderId="0" xfId="0"/>
    <xf numFmtId="164" fontId="9" fillId="4" borderId="2" xfId="1" applyFont="1" applyFill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1" workbookViewId="0">
      <selection activeCell="I13" sqref="I13"/>
    </sheetView>
  </sheetViews>
  <sheetFormatPr defaultRowHeight="18.45" customHeight="1" x14ac:dyDescent="0.3"/>
  <cols>
    <col min="1" max="1" width="52.5546875" customWidth="1"/>
    <col min="2" max="3" width="14.109375" customWidth="1"/>
    <col min="4" max="4" width="15.109375" bestFit="1" customWidth="1"/>
    <col min="5" max="5" width="15.6640625" customWidth="1"/>
  </cols>
  <sheetData>
    <row r="1" spans="1:5" s="15" customFormat="1" ht="26.4" customHeight="1" x14ac:dyDescent="0.3">
      <c r="A1" s="29" t="s">
        <v>42</v>
      </c>
      <c r="B1" s="30"/>
      <c r="C1" s="30"/>
      <c r="D1" s="30"/>
      <c r="E1" s="30"/>
    </row>
    <row r="2" spans="1:5" ht="10.199999999999999" customHeight="1" x14ac:dyDescent="0.3">
      <c r="A2" s="6"/>
      <c r="B2" s="6"/>
      <c r="C2" s="6"/>
      <c r="D2" s="6"/>
      <c r="E2" s="6"/>
    </row>
    <row r="3" spans="1:5" s="15" customFormat="1" ht="21.6" customHeight="1" x14ac:dyDescent="0.3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</row>
    <row r="4" spans="1:5" ht="18.45" customHeight="1" x14ac:dyDescent="0.3">
      <c r="A4" s="7" t="s">
        <v>104</v>
      </c>
      <c r="B4" s="8">
        <v>971.24</v>
      </c>
      <c r="C4" s="8">
        <v>100705.83</v>
      </c>
      <c r="D4" s="8">
        <v>52356.770000000004</v>
      </c>
      <c r="E4" s="9">
        <f t="shared" ref="E4:E17" si="0">SUM(B4:D4)</f>
        <v>154033.84000000003</v>
      </c>
    </row>
    <row r="5" spans="1:5" ht="14.4" x14ac:dyDescent="0.3">
      <c r="A5" s="7" t="s">
        <v>105</v>
      </c>
      <c r="B5" s="8">
        <v>188667.48</v>
      </c>
      <c r="C5" s="8">
        <v>40105.699999999997</v>
      </c>
      <c r="D5" s="8">
        <v>21316.300000000003</v>
      </c>
      <c r="E5" s="9">
        <f t="shared" si="0"/>
        <v>250089.47999999998</v>
      </c>
    </row>
    <row r="6" spans="1:5" s="18" customFormat="1" ht="14.4" x14ac:dyDescent="0.3">
      <c r="A6" s="7" t="s">
        <v>106</v>
      </c>
      <c r="B6" s="8">
        <v>0</v>
      </c>
      <c r="C6" s="8">
        <v>40617</v>
      </c>
      <c r="D6" s="8">
        <v>104994</v>
      </c>
      <c r="E6" s="9">
        <f t="shared" si="0"/>
        <v>145611</v>
      </c>
    </row>
    <row r="7" spans="1:5" s="18" customFormat="1" ht="14.4" x14ac:dyDescent="0.3">
      <c r="A7" s="7" t="s">
        <v>107</v>
      </c>
      <c r="B7" s="8">
        <v>0</v>
      </c>
      <c r="C7" s="8">
        <v>1200</v>
      </c>
      <c r="D7" s="8">
        <v>5400</v>
      </c>
      <c r="E7" s="9">
        <f t="shared" si="0"/>
        <v>6600</v>
      </c>
    </row>
    <row r="8" spans="1:5" s="5" customFormat="1" ht="14.4" x14ac:dyDescent="0.3">
      <c r="A8" s="7" t="s">
        <v>108</v>
      </c>
      <c r="B8" s="8">
        <v>14490.1</v>
      </c>
      <c r="C8" s="8">
        <v>88649.7</v>
      </c>
      <c r="D8" s="8">
        <v>91498.7</v>
      </c>
      <c r="E8" s="9">
        <f t="shared" si="0"/>
        <v>194638.5</v>
      </c>
    </row>
    <row r="9" spans="1:5" s="18" customFormat="1" ht="14.4" x14ac:dyDescent="0.3">
      <c r="A9" s="7" t="s">
        <v>109</v>
      </c>
      <c r="B9" s="8">
        <v>0</v>
      </c>
      <c r="C9" s="8">
        <v>0</v>
      </c>
      <c r="D9" s="8">
        <v>2073.11</v>
      </c>
      <c r="E9" s="9">
        <f t="shared" si="0"/>
        <v>2073.11</v>
      </c>
    </row>
    <row r="10" spans="1:5" s="18" customFormat="1" ht="14.4" x14ac:dyDescent="0.3">
      <c r="A10" s="7" t="s">
        <v>110</v>
      </c>
      <c r="B10" s="8">
        <v>69567.100000000006</v>
      </c>
      <c r="C10" s="8">
        <v>40729</v>
      </c>
      <c r="D10" s="8">
        <v>122416</v>
      </c>
      <c r="E10" s="9">
        <f t="shared" si="0"/>
        <v>232712.1</v>
      </c>
    </row>
    <row r="11" spans="1:5" s="3" customFormat="1" ht="18.45" customHeight="1" x14ac:dyDescent="0.3">
      <c r="A11" s="6" t="s">
        <v>111</v>
      </c>
      <c r="B11" s="8">
        <v>540075.89999999991</v>
      </c>
      <c r="C11" s="8">
        <v>790767.7</v>
      </c>
      <c r="D11" s="8">
        <v>1116903.2999999998</v>
      </c>
      <c r="E11" s="9">
        <f t="shared" si="0"/>
        <v>2447746.8999999994</v>
      </c>
    </row>
    <row r="12" spans="1:5" s="18" customFormat="1" ht="18.45" customHeight="1" x14ac:dyDescent="0.3">
      <c r="A12" s="6" t="s">
        <v>112</v>
      </c>
      <c r="B12" s="8">
        <v>30387</v>
      </c>
      <c r="C12" s="8">
        <v>29724</v>
      </c>
      <c r="D12" s="8">
        <v>18458</v>
      </c>
      <c r="E12" s="9">
        <f t="shared" si="0"/>
        <v>78569</v>
      </c>
    </row>
    <row r="13" spans="1:5" ht="18.45" customHeight="1" x14ac:dyDescent="0.3">
      <c r="A13" s="6" t="s">
        <v>113</v>
      </c>
      <c r="B13" s="8">
        <v>1410</v>
      </c>
      <c r="C13" s="8">
        <v>4740</v>
      </c>
      <c r="D13" s="8">
        <v>5310</v>
      </c>
      <c r="E13" s="9">
        <f t="shared" si="0"/>
        <v>11460</v>
      </c>
    </row>
    <row r="14" spans="1:5" ht="18.45" customHeight="1" x14ac:dyDescent="0.3">
      <c r="A14" s="6" t="s">
        <v>114</v>
      </c>
      <c r="B14" s="8">
        <v>0</v>
      </c>
      <c r="C14" s="8">
        <v>670</v>
      </c>
      <c r="D14" s="8">
        <v>0</v>
      </c>
      <c r="E14" s="9">
        <f t="shared" si="0"/>
        <v>670</v>
      </c>
    </row>
    <row r="15" spans="1:5" ht="18.45" customHeight="1" x14ac:dyDescent="0.3">
      <c r="A15" s="6" t="s">
        <v>102</v>
      </c>
      <c r="B15" s="8">
        <v>1600</v>
      </c>
      <c r="C15" s="8">
        <v>5000</v>
      </c>
      <c r="D15" s="8">
        <v>19500</v>
      </c>
      <c r="E15" s="9">
        <f t="shared" si="0"/>
        <v>26100</v>
      </c>
    </row>
    <row r="16" spans="1:5" s="27" customFormat="1" ht="18.45" customHeight="1" x14ac:dyDescent="0.3">
      <c r="A16" s="6" t="s">
        <v>103</v>
      </c>
      <c r="B16" s="8">
        <v>3097.48</v>
      </c>
      <c r="C16" s="8">
        <v>0</v>
      </c>
      <c r="D16" s="8">
        <v>0</v>
      </c>
      <c r="E16" s="9">
        <f t="shared" si="0"/>
        <v>3097.48</v>
      </c>
    </row>
    <row r="17" spans="1:5" ht="18.45" customHeight="1" x14ac:dyDescent="0.3">
      <c r="A17" s="6" t="s">
        <v>115</v>
      </c>
      <c r="B17" s="8">
        <v>2084.62</v>
      </c>
      <c r="C17" s="8">
        <v>13886.599999999999</v>
      </c>
      <c r="D17" s="8">
        <v>22082.36</v>
      </c>
      <c r="E17" s="10">
        <f t="shared" si="0"/>
        <v>38053.58</v>
      </c>
    </row>
    <row r="18" spans="1:5" ht="18.45" customHeight="1" x14ac:dyDescent="0.3">
      <c r="A18" s="6"/>
      <c r="B18" s="8"/>
      <c r="C18" s="8"/>
      <c r="D18" s="8"/>
      <c r="E18" s="8"/>
    </row>
    <row r="19" spans="1:5" ht="18.45" customHeight="1" x14ac:dyDescent="0.3">
      <c r="A19" s="6"/>
      <c r="B19" s="8"/>
      <c r="C19" s="8"/>
      <c r="D19" s="8"/>
      <c r="E19" s="8"/>
    </row>
    <row r="20" spans="1:5" ht="18.45" customHeight="1" x14ac:dyDescent="0.3">
      <c r="A20" s="11" t="s">
        <v>30</v>
      </c>
      <c r="B20" s="12">
        <v>66429140.900000006</v>
      </c>
      <c r="C20" s="12">
        <v>91241601.929999992</v>
      </c>
      <c r="D20" s="12">
        <v>124786549.42999999</v>
      </c>
      <c r="E20" s="13">
        <v>282457292.25999999</v>
      </c>
    </row>
    <row r="21" spans="1:5" ht="18.45" customHeight="1" x14ac:dyDescent="0.3">
      <c r="A21" s="11" t="s">
        <v>6</v>
      </c>
      <c r="B21" s="12">
        <v>85223705</v>
      </c>
      <c r="C21" s="12">
        <v>61608995.950000003</v>
      </c>
      <c r="D21" s="12">
        <v>127770811.87</v>
      </c>
      <c r="E21" s="13">
        <f>SUM(B21:D21)</f>
        <v>274603512.81999999</v>
      </c>
    </row>
    <row r="22" spans="1:5" s="3" customFormat="1" ht="18.45" customHeight="1" x14ac:dyDescent="0.3">
      <c r="A22" s="11" t="s">
        <v>99</v>
      </c>
      <c r="B22" s="12"/>
      <c r="C22" s="12"/>
      <c r="D22" s="12"/>
      <c r="E22" s="13">
        <f>(195793570.88+266684170.1)/2</f>
        <v>231238870.49000001</v>
      </c>
    </row>
    <row r="23" spans="1:5" s="3" customFormat="1" ht="18.45" customHeight="1" x14ac:dyDescent="0.3">
      <c r="A23" s="11" t="s">
        <v>35</v>
      </c>
      <c r="B23" s="12"/>
      <c r="C23" s="12"/>
      <c r="D23" s="12"/>
      <c r="E23" s="13">
        <f>E22/E20*90</f>
        <v>73.680159494495044</v>
      </c>
    </row>
    <row r="24" spans="1:5" s="3" customFormat="1" ht="18.45" customHeight="1" x14ac:dyDescent="0.3">
      <c r="A24" s="11" t="s">
        <v>36</v>
      </c>
      <c r="B24" s="12"/>
      <c r="C24" s="12"/>
      <c r="D24" s="12"/>
      <c r="E24" s="13">
        <v>57026244.100000001</v>
      </c>
    </row>
    <row r="25" spans="1:5" s="3" customFormat="1" ht="18.45" customHeight="1" x14ac:dyDescent="0.3">
      <c r="A25" s="11" t="s">
        <v>37</v>
      </c>
      <c r="B25" s="12"/>
      <c r="C25" s="12"/>
      <c r="D25" s="12"/>
      <c r="E25" s="13">
        <v>267480898.09999999</v>
      </c>
    </row>
    <row r="26" spans="1:5" ht="18.45" customHeight="1" x14ac:dyDescent="0.3">
      <c r="A26" s="11" t="s">
        <v>31</v>
      </c>
      <c r="B26" s="12"/>
      <c r="C26" s="12"/>
      <c r="D26" s="12"/>
      <c r="E26" s="14">
        <f>E24/E25</f>
        <v>0.21319744514496231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ColWidth="8.77734375" defaultRowHeight="14.4" x14ac:dyDescent="0.3"/>
  <cols>
    <col min="1" max="1" width="50.6640625" style="3" customWidth="1"/>
    <col min="2" max="5" width="12" style="3" customWidth="1"/>
    <col min="6" max="6" width="10.44140625" style="3" bestFit="1" customWidth="1"/>
    <col min="7" max="16384" width="8.77734375" style="3"/>
  </cols>
  <sheetData>
    <row r="1" spans="1:6" s="15" customFormat="1" ht="21.6" customHeight="1" x14ac:dyDescent="0.3">
      <c r="A1" s="26" t="s">
        <v>101</v>
      </c>
      <c r="B1" s="26" t="s">
        <v>38</v>
      </c>
      <c r="C1" s="26" t="s">
        <v>39</v>
      </c>
      <c r="D1" s="26" t="s">
        <v>40</v>
      </c>
      <c r="E1" s="26" t="s">
        <v>41</v>
      </c>
      <c r="F1" s="26" t="s">
        <v>100</v>
      </c>
    </row>
    <row r="2" spans="1:6" s="18" customFormat="1" x14ac:dyDescent="0.3">
      <c r="A2" s="19" t="s">
        <v>96</v>
      </c>
      <c r="B2" s="20"/>
      <c r="C2" s="20">
        <v>7575361.25</v>
      </c>
      <c r="D2" s="20">
        <v>27381675.570000004</v>
      </c>
      <c r="E2" s="20">
        <v>34957036.820000008</v>
      </c>
      <c r="F2" s="25">
        <f t="shared" ref="F2:F33" si="0">E2/E$58</f>
        <v>0.12376043309167706</v>
      </c>
    </row>
    <row r="3" spans="1:6" s="18" customFormat="1" x14ac:dyDescent="0.3">
      <c r="A3" s="19" t="s">
        <v>76</v>
      </c>
      <c r="B3" s="20">
        <v>15705657.110000001</v>
      </c>
      <c r="C3" s="20">
        <v>6020100.2999999998</v>
      </c>
      <c r="D3" s="20">
        <v>12712860.600000001</v>
      </c>
      <c r="E3" s="20">
        <v>34438618.010000005</v>
      </c>
      <c r="F3" s="25">
        <f t="shared" si="0"/>
        <v>0.12192504478977829</v>
      </c>
    </row>
    <row r="4" spans="1:6" s="18" customFormat="1" x14ac:dyDescent="0.3">
      <c r="A4" s="19" t="s">
        <v>89</v>
      </c>
      <c r="B4" s="20">
        <v>10346407.58</v>
      </c>
      <c r="C4" s="20">
        <v>19516433.199999999</v>
      </c>
      <c r="D4" s="20">
        <v>1198959.8500000001</v>
      </c>
      <c r="E4" s="20">
        <v>31061800.630000003</v>
      </c>
      <c r="F4" s="25">
        <f t="shared" si="0"/>
        <v>0.10996990157863519</v>
      </c>
    </row>
    <row r="5" spans="1:6" s="18" customFormat="1" x14ac:dyDescent="0.3">
      <c r="A5" s="19" t="s">
        <v>80</v>
      </c>
      <c r="B5" s="20"/>
      <c r="C5" s="20">
        <v>13000823.15</v>
      </c>
      <c r="D5" s="20">
        <v>17289694.600000001</v>
      </c>
      <c r="E5" s="20">
        <v>30290517.75</v>
      </c>
      <c r="F5" s="25">
        <f t="shared" si="0"/>
        <v>0.10723928388479269</v>
      </c>
    </row>
    <row r="6" spans="1:6" s="15" customFormat="1" x14ac:dyDescent="0.3">
      <c r="A6" s="19" t="s">
        <v>91</v>
      </c>
      <c r="B6" s="20">
        <v>8061144.6000000006</v>
      </c>
      <c r="C6" s="20">
        <v>8611461.4499999993</v>
      </c>
      <c r="D6" s="20">
        <v>11304170.300000001</v>
      </c>
      <c r="E6" s="20">
        <v>27976776.350000001</v>
      </c>
      <c r="F6" s="25">
        <f t="shared" si="0"/>
        <v>9.9047810471282027E-2</v>
      </c>
    </row>
    <row r="7" spans="1:6" s="15" customFormat="1" x14ac:dyDescent="0.3">
      <c r="A7" s="19" t="s">
        <v>85</v>
      </c>
      <c r="B7" s="20">
        <v>7588163.4500000002</v>
      </c>
      <c r="C7" s="20">
        <v>7918502.3500000006</v>
      </c>
      <c r="D7" s="20">
        <v>2613511.6</v>
      </c>
      <c r="E7" s="20">
        <v>18120177.400000002</v>
      </c>
      <c r="F7" s="25">
        <f t="shared" si="0"/>
        <v>6.4151919233582752E-2</v>
      </c>
    </row>
    <row r="8" spans="1:6" x14ac:dyDescent="0.3">
      <c r="A8" s="19" t="s">
        <v>52</v>
      </c>
      <c r="B8" s="20"/>
      <c r="C8" s="20">
        <v>7120288.5</v>
      </c>
      <c r="D8" s="20">
        <v>3684015.94</v>
      </c>
      <c r="E8" s="20">
        <v>10804304.439999999</v>
      </c>
      <c r="F8" s="25">
        <f t="shared" si="0"/>
        <v>3.8251108171265445E-2</v>
      </c>
    </row>
    <row r="9" spans="1:6" x14ac:dyDescent="0.3">
      <c r="A9" s="19" t="s">
        <v>48</v>
      </c>
      <c r="B9" s="20"/>
      <c r="C9" s="20"/>
      <c r="D9" s="20">
        <v>9193171.8599999994</v>
      </c>
      <c r="E9" s="20">
        <v>9193171.8599999994</v>
      </c>
      <c r="F9" s="25">
        <f t="shared" si="0"/>
        <v>3.2547121677912801E-2</v>
      </c>
    </row>
    <row r="10" spans="1:6" x14ac:dyDescent="0.3">
      <c r="A10" s="19" t="s">
        <v>61</v>
      </c>
      <c r="B10" s="20">
        <v>2633764.7000000002</v>
      </c>
      <c r="C10" s="20">
        <v>4817729.8999999994</v>
      </c>
      <c r="D10" s="20">
        <v>1258256.3999999999</v>
      </c>
      <c r="E10" s="20">
        <v>8709751</v>
      </c>
      <c r="F10" s="25">
        <f t="shared" si="0"/>
        <v>3.0835638656419365E-2</v>
      </c>
    </row>
    <row r="11" spans="1:6" x14ac:dyDescent="0.3">
      <c r="A11" s="19" t="s">
        <v>67</v>
      </c>
      <c r="B11" s="20">
        <v>328500</v>
      </c>
      <c r="C11" s="20">
        <v>4504949.96</v>
      </c>
      <c r="D11" s="20">
        <v>1567386</v>
      </c>
      <c r="E11" s="20">
        <v>6400835.96</v>
      </c>
      <c r="F11" s="25">
        <f t="shared" si="0"/>
        <v>2.2661252286268019E-2</v>
      </c>
    </row>
    <row r="12" spans="1:6" x14ac:dyDescent="0.3">
      <c r="A12" s="19" t="s">
        <v>68</v>
      </c>
      <c r="B12" s="20"/>
      <c r="C12" s="20">
        <v>1868032.56</v>
      </c>
      <c r="D12" s="20">
        <v>3994394.25</v>
      </c>
      <c r="E12" s="20">
        <v>5862426.8100000005</v>
      </c>
      <c r="F12" s="25">
        <f t="shared" si="0"/>
        <v>2.0755091019578547E-2</v>
      </c>
    </row>
    <row r="13" spans="1:6" x14ac:dyDescent="0.3">
      <c r="A13" s="19" t="s">
        <v>72</v>
      </c>
      <c r="B13" s="20"/>
      <c r="C13" s="20"/>
      <c r="D13" s="20">
        <v>5698873.5</v>
      </c>
      <c r="E13" s="20">
        <v>5698873.5</v>
      </c>
      <c r="F13" s="25">
        <f t="shared" si="0"/>
        <v>2.0176053712057201E-2</v>
      </c>
    </row>
    <row r="14" spans="1:6" x14ac:dyDescent="0.3">
      <c r="A14" s="19" t="s">
        <v>65</v>
      </c>
      <c r="B14" s="20"/>
      <c r="C14" s="20"/>
      <c r="D14" s="20">
        <v>4732880.5</v>
      </c>
      <c r="E14" s="20">
        <v>4732880.5</v>
      </c>
      <c r="F14" s="25">
        <f t="shared" si="0"/>
        <v>1.6756092441909468E-2</v>
      </c>
    </row>
    <row r="15" spans="1:6" x14ac:dyDescent="0.3">
      <c r="A15" s="19" t="s">
        <v>90</v>
      </c>
      <c r="B15" s="20">
        <v>589462</v>
      </c>
      <c r="C15" s="20">
        <v>1730187.71</v>
      </c>
      <c r="D15" s="20">
        <v>2382253.8499999996</v>
      </c>
      <c r="E15" s="20">
        <v>4701903.5599999996</v>
      </c>
      <c r="F15" s="25">
        <f t="shared" si="0"/>
        <v>1.664642297736087E-2</v>
      </c>
    </row>
    <row r="16" spans="1:6" x14ac:dyDescent="0.3">
      <c r="A16" s="19" t="s">
        <v>82</v>
      </c>
      <c r="B16" s="20">
        <v>3529517.5</v>
      </c>
      <c r="C16" s="20">
        <v>647327</v>
      </c>
      <c r="D16" s="20">
        <v>264186</v>
      </c>
      <c r="E16" s="20">
        <v>4441030.5</v>
      </c>
      <c r="F16" s="25">
        <f t="shared" si="0"/>
        <v>1.5722838891736104E-2</v>
      </c>
    </row>
    <row r="17" spans="1:6" x14ac:dyDescent="0.3">
      <c r="A17" s="19" t="s">
        <v>94</v>
      </c>
      <c r="B17" s="20"/>
      <c r="C17" s="20">
        <v>90750</v>
      </c>
      <c r="D17" s="20">
        <v>4199144.4000000004</v>
      </c>
      <c r="E17" s="20">
        <v>4289894.4000000004</v>
      </c>
      <c r="F17" s="25">
        <f t="shared" si="0"/>
        <v>1.5187762955863719E-2</v>
      </c>
    </row>
    <row r="18" spans="1:6" x14ac:dyDescent="0.3">
      <c r="A18" s="19" t="s">
        <v>93</v>
      </c>
      <c r="B18" s="20">
        <v>3449563</v>
      </c>
      <c r="C18" s="20"/>
      <c r="D18" s="20"/>
      <c r="E18" s="20">
        <v>3449563</v>
      </c>
      <c r="F18" s="25">
        <f t="shared" si="0"/>
        <v>1.2212688765792954E-2</v>
      </c>
    </row>
    <row r="19" spans="1:6" x14ac:dyDescent="0.3">
      <c r="A19" s="19" t="s">
        <v>64</v>
      </c>
      <c r="B19" s="20"/>
      <c r="C19" s="20">
        <v>3018060.75</v>
      </c>
      <c r="D19" s="20"/>
      <c r="E19" s="20">
        <v>3018060.75</v>
      </c>
      <c r="F19" s="25">
        <f t="shared" si="0"/>
        <v>1.0685016222636219E-2</v>
      </c>
    </row>
    <row r="20" spans="1:6" x14ac:dyDescent="0.3">
      <c r="A20" s="19" t="s">
        <v>87</v>
      </c>
      <c r="B20" s="20">
        <v>670753.65</v>
      </c>
      <c r="C20" s="20">
        <v>692036.8</v>
      </c>
      <c r="D20" s="20">
        <v>1478770.6</v>
      </c>
      <c r="E20" s="20">
        <v>2841561.0500000003</v>
      </c>
      <c r="F20" s="25">
        <f t="shared" si="0"/>
        <v>1.006014405669641E-2</v>
      </c>
    </row>
    <row r="21" spans="1:6" x14ac:dyDescent="0.3">
      <c r="A21" s="19" t="s">
        <v>83</v>
      </c>
      <c r="B21" s="20">
        <v>2133300.7999999998</v>
      </c>
      <c r="C21" s="20"/>
      <c r="D21" s="20">
        <v>538650</v>
      </c>
      <c r="E21" s="20">
        <v>2671950.7999999998</v>
      </c>
      <c r="F21" s="25">
        <f t="shared" si="0"/>
        <v>9.4596630117819262E-3</v>
      </c>
    </row>
    <row r="22" spans="1:6" x14ac:dyDescent="0.3">
      <c r="A22" s="19" t="s">
        <v>71</v>
      </c>
      <c r="B22" s="20">
        <v>1096776.8</v>
      </c>
      <c r="C22" s="20"/>
      <c r="D22" s="20">
        <v>1430230.6</v>
      </c>
      <c r="E22" s="20">
        <v>2527007.4000000004</v>
      </c>
      <c r="F22" s="25">
        <f t="shared" si="0"/>
        <v>8.9465114523363306E-3</v>
      </c>
    </row>
    <row r="23" spans="1:6" x14ac:dyDescent="0.3">
      <c r="A23" s="19" t="s">
        <v>51</v>
      </c>
      <c r="B23" s="20">
        <v>1033695</v>
      </c>
      <c r="C23" s="20"/>
      <c r="D23" s="20">
        <v>1476157.5</v>
      </c>
      <c r="E23" s="20">
        <v>2509852.5</v>
      </c>
      <c r="F23" s="25">
        <f t="shared" si="0"/>
        <v>8.8857769608925424E-3</v>
      </c>
    </row>
    <row r="24" spans="1:6" x14ac:dyDescent="0.3">
      <c r="A24" s="19" t="s">
        <v>54</v>
      </c>
      <c r="B24" s="20">
        <v>1087199.4500000002</v>
      </c>
      <c r="C24" s="20">
        <v>46368</v>
      </c>
      <c r="D24" s="20">
        <v>1232075.55</v>
      </c>
      <c r="E24" s="20">
        <v>2365643</v>
      </c>
      <c r="F24" s="25">
        <f t="shared" si="0"/>
        <v>8.3752236703538221E-3</v>
      </c>
    </row>
    <row r="25" spans="1:6" x14ac:dyDescent="0.3">
      <c r="A25" s="19" t="s">
        <v>47</v>
      </c>
      <c r="B25" s="20">
        <v>1377076.4</v>
      </c>
      <c r="C25" s="20"/>
      <c r="D25" s="20">
        <v>810834.5</v>
      </c>
      <c r="E25" s="20">
        <v>2187910.9</v>
      </c>
      <c r="F25" s="25">
        <f t="shared" si="0"/>
        <v>7.7459883669282028E-3</v>
      </c>
    </row>
    <row r="26" spans="1:6" x14ac:dyDescent="0.3">
      <c r="A26" s="19" t="s">
        <v>77</v>
      </c>
      <c r="B26" s="20">
        <v>1966820.4000000001</v>
      </c>
      <c r="C26" s="20"/>
      <c r="D26" s="20"/>
      <c r="E26" s="20">
        <v>1966820.4000000001</v>
      </c>
      <c r="F26" s="25">
        <f t="shared" si="0"/>
        <v>6.963248795111847E-3</v>
      </c>
    </row>
    <row r="27" spans="1:6" x14ac:dyDescent="0.3">
      <c r="A27" s="19" t="s">
        <v>95</v>
      </c>
      <c r="B27" s="20"/>
      <c r="C27" s="20"/>
      <c r="D27" s="20">
        <v>1644538.86</v>
      </c>
      <c r="E27" s="20">
        <v>1644538.86</v>
      </c>
      <c r="F27" s="25">
        <f t="shared" si="0"/>
        <v>5.82225669176993E-3</v>
      </c>
    </row>
    <row r="28" spans="1:6" x14ac:dyDescent="0.3">
      <c r="A28" s="19" t="s">
        <v>98</v>
      </c>
      <c r="B28" s="20">
        <v>864345.59999999998</v>
      </c>
      <c r="C28" s="20"/>
      <c r="D28" s="20">
        <v>758160</v>
      </c>
      <c r="E28" s="20">
        <v>1622505.6</v>
      </c>
      <c r="F28" s="25">
        <f t="shared" si="0"/>
        <v>5.7442510583387398E-3</v>
      </c>
    </row>
    <row r="29" spans="1:6" x14ac:dyDescent="0.3">
      <c r="A29" s="19" t="s">
        <v>50</v>
      </c>
      <c r="B29" s="20"/>
      <c r="C29" s="20"/>
      <c r="D29" s="20">
        <v>1616451.2000000002</v>
      </c>
      <c r="E29" s="20">
        <v>1616451.2000000002</v>
      </c>
      <c r="F29" s="25">
        <f t="shared" si="0"/>
        <v>5.7228163134555136E-3</v>
      </c>
    </row>
    <row r="30" spans="1:6" x14ac:dyDescent="0.3">
      <c r="A30" s="19" t="s">
        <v>74</v>
      </c>
      <c r="B30" s="20">
        <v>1452261.12</v>
      </c>
      <c r="C30" s="20"/>
      <c r="D30" s="20"/>
      <c r="E30" s="20">
        <v>1452261.12</v>
      </c>
      <c r="F30" s="25">
        <f t="shared" si="0"/>
        <v>5.1415246120224203E-3</v>
      </c>
    </row>
    <row r="31" spans="1:6" x14ac:dyDescent="0.3">
      <c r="A31" s="19" t="s">
        <v>60</v>
      </c>
      <c r="B31" s="20"/>
      <c r="C31" s="20"/>
      <c r="D31" s="20">
        <v>1062743.7</v>
      </c>
      <c r="E31" s="20">
        <v>1062743.7</v>
      </c>
      <c r="F31" s="25">
        <f t="shared" si="0"/>
        <v>3.7624934073989193E-3</v>
      </c>
    </row>
    <row r="32" spans="1:6" x14ac:dyDescent="0.3">
      <c r="A32" s="19" t="s">
        <v>73</v>
      </c>
      <c r="B32" s="20">
        <v>896325</v>
      </c>
      <c r="C32" s="20"/>
      <c r="D32" s="20"/>
      <c r="E32" s="20">
        <v>896325</v>
      </c>
      <c r="F32" s="25">
        <f t="shared" si="0"/>
        <v>3.1733115928015724E-3</v>
      </c>
    </row>
    <row r="33" spans="1:6" x14ac:dyDescent="0.3">
      <c r="A33" s="19" t="s">
        <v>55</v>
      </c>
      <c r="B33" s="20">
        <v>88842</v>
      </c>
      <c r="C33" s="20">
        <v>406116.45</v>
      </c>
      <c r="D33" s="20">
        <v>337500</v>
      </c>
      <c r="E33" s="20">
        <v>832458.45</v>
      </c>
      <c r="F33" s="25">
        <f t="shared" si="0"/>
        <v>2.9472011267237083E-3</v>
      </c>
    </row>
    <row r="34" spans="1:6" x14ac:dyDescent="0.3">
      <c r="A34" s="19" t="s">
        <v>44</v>
      </c>
      <c r="B34" s="20"/>
      <c r="C34" s="20">
        <v>531183</v>
      </c>
      <c r="D34" s="20">
        <v>300219</v>
      </c>
      <c r="E34" s="20">
        <v>831402</v>
      </c>
      <c r="F34" s="25">
        <f t="shared" ref="F34:F57" si="1">E34/E$58</f>
        <v>2.9434609152689181E-3</v>
      </c>
    </row>
    <row r="35" spans="1:6" x14ac:dyDescent="0.3">
      <c r="A35" s="19" t="s">
        <v>88</v>
      </c>
      <c r="B35" s="20"/>
      <c r="C35" s="20">
        <v>810135</v>
      </c>
      <c r="D35" s="20"/>
      <c r="E35" s="20">
        <v>810135</v>
      </c>
      <c r="F35" s="25">
        <f t="shared" si="1"/>
        <v>2.8681681167370115E-3</v>
      </c>
    </row>
    <row r="36" spans="1:6" x14ac:dyDescent="0.3">
      <c r="A36" s="19" t="s">
        <v>79</v>
      </c>
      <c r="B36" s="20"/>
      <c r="C36" s="20">
        <v>481241.5</v>
      </c>
      <c r="D36" s="20">
        <v>300342.5</v>
      </c>
      <c r="E36" s="20">
        <v>781584</v>
      </c>
      <c r="F36" s="25">
        <f t="shared" si="1"/>
        <v>2.76708734883912E-3</v>
      </c>
    </row>
    <row r="37" spans="1:6" x14ac:dyDescent="0.3">
      <c r="A37" s="19" t="s">
        <v>66</v>
      </c>
      <c r="B37" s="20"/>
      <c r="C37" s="20"/>
      <c r="D37" s="20">
        <v>757129.8</v>
      </c>
      <c r="E37" s="20">
        <v>757129.8</v>
      </c>
      <c r="F37" s="25">
        <f t="shared" si="1"/>
        <v>2.6805107205483906E-3</v>
      </c>
    </row>
    <row r="38" spans="1:6" x14ac:dyDescent="0.3">
      <c r="A38" s="19" t="s">
        <v>62</v>
      </c>
      <c r="B38" s="20"/>
      <c r="C38" s="20">
        <v>220000</v>
      </c>
      <c r="D38" s="20">
        <v>436000</v>
      </c>
      <c r="E38" s="20">
        <v>656000</v>
      </c>
      <c r="F38" s="25">
        <f t="shared" si="1"/>
        <v>2.3224750005609923E-3</v>
      </c>
    </row>
    <row r="39" spans="1:6" x14ac:dyDescent="0.3">
      <c r="A39" s="19" t="s">
        <v>45</v>
      </c>
      <c r="B39" s="20"/>
      <c r="C39" s="20">
        <v>595101</v>
      </c>
      <c r="D39" s="20"/>
      <c r="E39" s="20">
        <v>595101</v>
      </c>
      <c r="F39" s="25">
        <f t="shared" si="1"/>
        <v>2.1068707245561692E-3</v>
      </c>
    </row>
    <row r="40" spans="1:6" x14ac:dyDescent="0.3">
      <c r="A40" s="19" t="s">
        <v>84</v>
      </c>
      <c r="B40" s="20">
        <v>184533.72</v>
      </c>
      <c r="C40" s="20">
        <v>306802.5</v>
      </c>
      <c r="D40" s="20"/>
      <c r="E40" s="20">
        <v>491336.22</v>
      </c>
      <c r="F40" s="25">
        <f t="shared" si="1"/>
        <v>1.7395062314331338E-3</v>
      </c>
    </row>
    <row r="41" spans="1:6" x14ac:dyDescent="0.3">
      <c r="A41" s="19" t="s">
        <v>59</v>
      </c>
      <c r="B41" s="20">
        <v>362530</v>
      </c>
      <c r="C41" s="20"/>
      <c r="D41" s="20"/>
      <c r="E41" s="20">
        <v>362530</v>
      </c>
      <c r="F41" s="25">
        <f t="shared" si="1"/>
        <v>1.2834860700508789E-3</v>
      </c>
    </row>
    <row r="42" spans="1:6" x14ac:dyDescent="0.3">
      <c r="A42" s="19" t="s">
        <v>56</v>
      </c>
      <c r="B42" s="20"/>
      <c r="C42" s="20"/>
      <c r="D42" s="20">
        <v>346873</v>
      </c>
      <c r="E42" s="20">
        <v>346873</v>
      </c>
      <c r="F42" s="25">
        <f t="shared" si="1"/>
        <v>1.2280546812036481E-3</v>
      </c>
    </row>
    <row r="43" spans="1:6" x14ac:dyDescent="0.3">
      <c r="A43" s="19" t="s">
        <v>46</v>
      </c>
      <c r="B43" s="20">
        <v>275422.90000000002</v>
      </c>
      <c r="C43" s="20">
        <v>69959.8</v>
      </c>
      <c r="D43" s="20"/>
      <c r="E43" s="20">
        <v>345382.7</v>
      </c>
      <c r="F43" s="25">
        <f t="shared" si="1"/>
        <v>1.2227784853296602E-3</v>
      </c>
    </row>
    <row r="44" spans="1:6" x14ac:dyDescent="0.3">
      <c r="A44" s="19" t="s">
        <v>86</v>
      </c>
      <c r="B44" s="20">
        <v>5350.4</v>
      </c>
      <c r="C44" s="20">
        <v>116562.6</v>
      </c>
      <c r="D44" s="20">
        <v>175893.56</v>
      </c>
      <c r="E44" s="20">
        <v>297806.56</v>
      </c>
      <c r="F44" s="25">
        <f t="shared" si="1"/>
        <v>1.0543419064071146E-3</v>
      </c>
    </row>
    <row r="45" spans="1:6" x14ac:dyDescent="0.3">
      <c r="A45" s="19" t="s">
        <v>43</v>
      </c>
      <c r="B45" s="20"/>
      <c r="C45" s="20"/>
      <c r="D45" s="20">
        <v>279101.64</v>
      </c>
      <c r="E45" s="20">
        <v>279101.64</v>
      </c>
      <c r="F45" s="25">
        <f t="shared" si="1"/>
        <v>9.8811978889569202E-4</v>
      </c>
    </row>
    <row r="46" spans="1:6" x14ac:dyDescent="0.3">
      <c r="A46" s="19" t="s">
        <v>78</v>
      </c>
      <c r="B46" s="20">
        <v>266101.44</v>
      </c>
      <c r="C46" s="20"/>
      <c r="D46" s="20"/>
      <c r="E46" s="20">
        <v>266101.44</v>
      </c>
      <c r="F46" s="25">
        <f t="shared" si="1"/>
        <v>9.420944238007331E-4</v>
      </c>
    </row>
    <row r="47" spans="1:6" x14ac:dyDescent="0.3">
      <c r="A47" s="19" t="s">
        <v>58</v>
      </c>
      <c r="B47" s="20"/>
      <c r="C47" s="20">
        <v>43210</v>
      </c>
      <c r="D47" s="20">
        <v>198748</v>
      </c>
      <c r="E47" s="20">
        <v>241958</v>
      </c>
      <c r="F47" s="25">
        <f t="shared" si="1"/>
        <v>8.5661799723435461E-4</v>
      </c>
    </row>
    <row r="48" spans="1:6" x14ac:dyDescent="0.3">
      <c r="A48" s="19" t="s">
        <v>57</v>
      </c>
      <c r="B48" s="20"/>
      <c r="C48" s="20">
        <v>206856</v>
      </c>
      <c r="D48" s="20"/>
      <c r="E48" s="20">
        <v>206856</v>
      </c>
      <c r="F48" s="25">
        <f t="shared" si="1"/>
        <v>7.3234434255494611E-4</v>
      </c>
    </row>
    <row r="49" spans="1:6" x14ac:dyDescent="0.3">
      <c r="A49" s="19" t="s">
        <v>97</v>
      </c>
      <c r="B49" s="20">
        <v>181929</v>
      </c>
      <c r="C49" s="20"/>
      <c r="D49" s="20"/>
      <c r="E49" s="20">
        <v>181929</v>
      </c>
      <c r="F49" s="25">
        <f t="shared" si="1"/>
        <v>6.4409383289186094E-4</v>
      </c>
    </row>
    <row r="50" spans="1:6" x14ac:dyDescent="0.3">
      <c r="A50" s="19" t="s">
        <v>75</v>
      </c>
      <c r="B50" s="20">
        <v>119496</v>
      </c>
      <c r="C50" s="20"/>
      <c r="D50" s="20"/>
      <c r="E50" s="20">
        <v>119496</v>
      </c>
      <c r="F50" s="25">
        <f t="shared" si="1"/>
        <v>4.2305864735828712E-4</v>
      </c>
    </row>
    <row r="51" spans="1:6" x14ac:dyDescent="0.3">
      <c r="A51" s="19" t="s">
        <v>63</v>
      </c>
      <c r="B51" s="20"/>
      <c r="C51" s="20">
        <v>118918.8</v>
      </c>
      <c r="D51" s="20"/>
      <c r="E51" s="20">
        <v>118918.8</v>
      </c>
      <c r="F51" s="25">
        <f t="shared" si="1"/>
        <v>4.2101515258645205E-4</v>
      </c>
    </row>
    <row r="52" spans="1:6" x14ac:dyDescent="0.3">
      <c r="A52" s="19" t="s">
        <v>81</v>
      </c>
      <c r="B52" s="20"/>
      <c r="C52" s="20">
        <v>95025</v>
      </c>
      <c r="D52" s="20"/>
      <c r="E52" s="20">
        <v>95025</v>
      </c>
      <c r="F52" s="25">
        <f t="shared" si="1"/>
        <v>3.3642254104925044E-4</v>
      </c>
    </row>
    <row r="53" spans="1:6" x14ac:dyDescent="0.3">
      <c r="A53" s="19" t="s">
        <v>70</v>
      </c>
      <c r="B53" s="20"/>
      <c r="C53" s="20">
        <v>62077.4</v>
      </c>
      <c r="D53" s="20">
        <v>14337.4</v>
      </c>
      <c r="E53" s="20">
        <v>76414.8</v>
      </c>
      <c r="F53" s="25">
        <f t="shared" si="1"/>
        <v>2.7053576626961603E-4</v>
      </c>
    </row>
    <row r="54" spans="1:6" x14ac:dyDescent="0.3">
      <c r="A54" s="19" t="s">
        <v>69</v>
      </c>
      <c r="B54" s="20">
        <v>69929.279999999999</v>
      </c>
      <c r="C54" s="20"/>
      <c r="D54" s="20"/>
      <c r="E54" s="20">
        <v>69929.279999999999</v>
      </c>
      <c r="F54" s="25">
        <f t="shared" si="1"/>
        <v>2.4757470214516734E-4</v>
      </c>
    </row>
    <row r="55" spans="1:6" x14ac:dyDescent="0.3">
      <c r="A55" s="19" t="s">
        <v>53</v>
      </c>
      <c r="B55" s="20"/>
      <c r="C55" s="20"/>
      <c r="D55" s="20">
        <v>66000</v>
      </c>
      <c r="E55" s="20">
        <v>66000</v>
      </c>
      <c r="F55" s="25">
        <f t="shared" si="1"/>
        <v>2.3366364334912422E-4</v>
      </c>
    </row>
    <row r="56" spans="1:6" x14ac:dyDescent="0.3">
      <c r="A56" s="19" t="s">
        <v>92</v>
      </c>
      <c r="B56" s="20">
        <v>64272</v>
      </c>
      <c r="C56" s="20"/>
      <c r="D56" s="20"/>
      <c r="E56" s="20">
        <v>64272</v>
      </c>
      <c r="F56" s="25">
        <f t="shared" si="1"/>
        <v>2.2754590432325626E-4</v>
      </c>
    </row>
    <row r="57" spans="1:6" x14ac:dyDescent="0.3">
      <c r="A57" s="19" t="s">
        <v>49</v>
      </c>
      <c r="B57" s="20"/>
      <c r="C57" s="20"/>
      <c r="D57" s="20">
        <v>50356.800000000003</v>
      </c>
      <c r="E57" s="20">
        <v>50356.800000000003</v>
      </c>
      <c r="F57" s="25">
        <f t="shared" si="1"/>
        <v>1.7828111144550272E-4</v>
      </c>
    </row>
    <row r="58" spans="1:6" x14ac:dyDescent="0.3">
      <c r="A58" s="21" t="s">
        <v>41</v>
      </c>
      <c r="B58" s="28">
        <v>66429140.900000006</v>
      </c>
      <c r="C58" s="28">
        <v>91241601.929999992</v>
      </c>
      <c r="D58" s="28">
        <v>124786549.42999999</v>
      </c>
      <c r="E58" s="28">
        <v>282457292.26000005</v>
      </c>
      <c r="F58" s="6"/>
    </row>
    <row r="59" spans="1:6" s="16" customFormat="1" x14ac:dyDescent="0.3">
      <c r="A59" s="22"/>
      <c r="B59" s="23"/>
      <c r="C59" s="23"/>
      <c r="D59" s="23"/>
      <c r="E59" s="23"/>
    </row>
    <row r="60" spans="1:6" s="16" customFormat="1" x14ac:dyDescent="0.3">
      <c r="A60" s="22"/>
      <c r="B60" s="23"/>
      <c r="C60" s="23"/>
      <c r="D60" s="23"/>
      <c r="E60" s="23"/>
    </row>
    <row r="61" spans="1:6" s="17" customFormat="1" ht="18.45" customHeight="1" x14ac:dyDescent="0.3">
      <c r="A61" s="11" t="s">
        <v>5</v>
      </c>
      <c r="B61" s="12">
        <v>29</v>
      </c>
      <c r="C61" s="12">
        <v>30</v>
      </c>
      <c r="D61" s="12">
        <v>38</v>
      </c>
      <c r="E61" s="13">
        <v>56</v>
      </c>
    </row>
    <row r="62" spans="1:6" s="17" customFormat="1" ht="18.45" customHeight="1" x14ac:dyDescent="0.3">
      <c r="A62" s="11" t="s">
        <v>34</v>
      </c>
      <c r="B62" s="12">
        <v>28</v>
      </c>
      <c r="C62" s="12">
        <v>28</v>
      </c>
      <c r="D62" s="12">
        <v>34</v>
      </c>
      <c r="E62" s="12"/>
    </row>
    <row r="63" spans="1:6" s="17" customFormat="1" x14ac:dyDescent="0.3">
      <c r="A63" s="11" t="s">
        <v>32</v>
      </c>
      <c r="B63" s="12"/>
      <c r="C63" s="12"/>
      <c r="D63" s="12"/>
      <c r="E63" s="13"/>
    </row>
    <row r="64" spans="1:6" s="17" customFormat="1" x14ac:dyDescent="0.3">
      <c r="A64" s="11" t="s">
        <v>33</v>
      </c>
      <c r="B64" s="12"/>
      <c r="C64" s="12"/>
      <c r="D64" s="12"/>
      <c r="E64" s="13"/>
    </row>
  </sheetData>
  <autoFilter ref="A1:F1">
    <sortState ref="A2:F58">
      <sortCondition descending="1" ref="F1"/>
    </sortState>
  </autoFilter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4" x14ac:dyDescent="0.3"/>
  <cols>
    <col min="1" max="10" width="20" customWidth="1"/>
  </cols>
  <sheetData>
    <row r="1" spans="1:10" ht="21" x14ac:dyDescent="0.4">
      <c r="A1" s="31" t="s">
        <v>7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3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NDPL SALES</cp:lastModifiedBy>
  <cp:lastPrinted>2026-07-13T12:02:07Z</cp:lastPrinted>
  <dcterms:created xsi:type="dcterms:W3CDTF">2026-07-03T03:50:45Z</dcterms:created>
  <dcterms:modified xsi:type="dcterms:W3CDTF">2026-07-15T04:54:38Z</dcterms:modified>
</cp:coreProperties>
</file>