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DPL SALES\Downloads\"/>
    </mc:Choice>
  </mc:AlternateContent>
  <bookViews>
    <workbookView xWindow="0" yWindow="0" windowWidth="19200" windowHeight="7188" activeTab="1"/>
  </bookViews>
  <sheets>
    <sheet name="Q1 Summary" sheetId="1" r:id="rId1"/>
    <sheet name="Customerwise Sales" sheetId="4" r:id="rId2"/>
    <sheet name="Planning" sheetId="3" r:id="rId3"/>
  </sheets>
  <definedNames>
    <definedName name="_xlnm._FilterDatabase" localSheetId="1" hidden="1">'Customerwise Sales'!$A$2:$F$105</definedName>
  </definedNames>
  <calcPr calcId="162913"/>
</workbook>
</file>

<file path=xl/calcChain.xml><?xml version="1.0" encoding="utf-8"?>
<calcChain xmlns="http://schemas.openxmlformats.org/spreadsheetml/2006/main">
  <c r="E103" i="4" l="1"/>
  <c r="F99" i="4" s="1"/>
  <c r="D103" i="4"/>
  <c r="C103" i="4"/>
  <c r="B103" i="4"/>
  <c r="F102" i="4"/>
  <c r="F101" i="4"/>
  <c r="F100" i="4"/>
  <c r="F98" i="4"/>
  <c r="F97" i="4"/>
  <c r="F96" i="4"/>
  <c r="F94" i="4"/>
  <c r="F93" i="4"/>
  <c r="F92" i="4"/>
  <c r="F90" i="4"/>
  <c r="F89" i="4"/>
  <c r="F88" i="4"/>
  <c r="F86" i="4"/>
  <c r="F85" i="4"/>
  <c r="F84" i="4"/>
  <c r="F82" i="4"/>
  <c r="F81" i="4"/>
  <c r="F80" i="4"/>
  <c r="F78" i="4"/>
  <c r="F77" i="4"/>
  <c r="F76" i="4"/>
  <c r="F74" i="4"/>
  <c r="F73" i="4"/>
  <c r="F72" i="4"/>
  <c r="F70" i="4"/>
  <c r="F69" i="4"/>
  <c r="F68" i="4"/>
  <c r="F66" i="4"/>
  <c r="F65" i="4"/>
  <c r="F64" i="4"/>
  <c r="F62" i="4"/>
  <c r="F61" i="4"/>
  <c r="F60" i="4"/>
  <c r="F58" i="4"/>
  <c r="F57" i="4"/>
  <c r="F56" i="4"/>
  <c r="F54" i="4"/>
  <c r="F53" i="4"/>
  <c r="F52" i="4"/>
  <c r="F50" i="4"/>
  <c r="F49" i="4"/>
  <c r="F48" i="4"/>
  <c r="F46" i="4"/>
  <c r="F45" i="4"/>
  <c r="F44" i="4"/>
  <c r="F42" i="4"/>
  <c r="F41" i="4"/>
  <c r="F40" i="4"/>
  <c r="F38" i="4"/>
  <c r="F37" i="4"/>
  <c r="F36" i="4"/>
  <c r="F34" i="4"/>
  <c r="F33" i="4"/>
  <c r="F32" i="4"/>
  <c r="F30" i="4"/>
  <c r="F29" i="4"/>
  <c r="F28" i="4"/>
  <c r="F26" i="4"/>
  <c r="F25" i="4"/>
  <c r="F24" i="4"/>
  <c r="F22" i="4"/>
  <c r="F21" i="4"/>
  <c r="F20" i="4"/>
  <c r="F18" i="4"/>
  <c r="F17" i="4"/>
  <c r="F16" i="4"/>
  <c r="F14" i="4"/>
  <c r="F13" i="4"/>
  <c r="F12" i="4"/>
  <c r="F10" i="4"/>
  <c r="F9" i="4"/>
  <c r="F8" i="4"/>
  <c r="F6" i="4"/>
  <c r="F5" i="4"/>
  <c r="F4" i="4"/>
  <c r="E24" i="1"/>
  <c r="E20" i="1"/>
  <c r="E19" i="1"/>
  <c r="E18" i="1"/>
  <c r="B6" i="1"/>
  <c r="E6" i="1" s="1"/>
  <c r="E14" i="1"/>
  <c r="E5" i="1"/>
  <c r="E7" i="1"/>
  <c r="E4" i="1"/>
  <c r="E13" i="1"/>
  <c r="E12" i="1"/>
  <c r="E8" i="1"/>
  <c r="E10" i="1"/>
  <c r="E11" i="1"/>
  <c r="E9" i="1"/>
  <c r="F3" i="4" l="1"/>
  <c r="F7" i="4"/>
  <c r="F11" i="4"/>
  <c r="F15" i="4"/>
  <c r="F19" i="4"/>
  <c r="F23" i="4"/>
  <c r="F27" i="4"/>
  <c r="F31" i="4"/>
  <c r="F35" i="4"/>
  <c r="F39" i="4"/>
  <c r="F43" i="4"/>
  <c r="F47" i="4"/>
  <c r="F51" i="4"/>
  <c r="F55" i="4"/>
  <c r="F59" i="4"/>
  <c r="F63" i="4"/>
  <c r="F67" i="4"/>
  <c r="F71" i="4"/>
  <c r="F75" i="4"/>
  <c r="F79" i="4"/>
  <c r="F83" i="4"/>
  <c r="F87" i="4"/>
  <c r="F91" i="4"/>
  <c r="F95" i="4"/>
  <c r="E21" i="1"/>
</calcChain>
</file>

<file path=xl/sharedStrings.xml><?xml version="1.0" encoding="utf-8"?>
<sst xmlns="http://schemas.openxmlformats.org/spreadsheetml/2006/main" count="162" uniqueCount="161">
  <si>
    <t>Product / Category</t>
  </si>
  <si>
    <t>Apr'26</t>
  </si>
  <si>
    <t>May'26</t>
  </si>
  <si>
    <t>Jun'26</t>
  </si>
  <si>
    <t>Q1 Total</t>
  </si>
  <si>
    <t>Total Customers Billed</t>
  </si>
  <si>
    <t>Collection (Rs.)</t>
  </si>
  <si>
    <t>Sales Planning Sheet</t>
  </si>
  <si>
    <t>Product</t>
  </si>
  <si>
    <t>Aug'26</t>
  </si>
  <si>
    <t>Sep'26</t>
  </si>
  <si>
    <t>Q2</t>
  </si>
  <si>
    <t>Q3</t>
  </si>
  <si>
    <t>Q4</t>
  </si>
  <si>
    <t>QTR 1</t>
  </si>
  <si>
    <t xml:space="preserve"> Target</t>
  </si>
  <si>
    <t xml:space="preserve"> Jul'26</t>
  </si>
  <si>
    <t>April fine (Board)</t>
  </si>
  <si>
    <t>April fine (Paper )</t>
  </si>
  <si>
    <t>ART PAPER</t>
  </si>
  <si>
    <t>ARTICA (Board)</t>
  </si>
  <si>
    <t>Artica Intense Black</t>
  </si>
  <si>
    <t>ARTICA (Paper)</t>
  </si>
  <si>
    <t>Century  (Board)</t>
  </si>
  <si>
    <t>Century  (Paper)</t>
  </si>
  <si>
    <t>FLEXBOARD</t>
  </si>
  <si>
    <t>Polyplex</t>
  </si>
  <si>
    <t>Cosmo</t>
  </si>
  <si>
    <t xml:space="preserve">HB Fuller </t>
  </si>
  <si>
    <t xml:space="preserve">Write remaining </t>
  </si>
  <si>
    <t xml:space="preserve">April fine (Board)/Paper and Board  </t>
  </si>
  <si>
    <t xml:space="preserve">April fine (Paper)/Paper and Board  </t>
  </si>
  <si>
    <t>Sara Print / Amazing Media</t>
  </si>
  <si>
    <t xml:space="preserve">Thermal Film / Amazing Media </t>
  </si>
  <si>
    <t xml:space="preserve">Gumming Sheets / Amazing Media </t>
  </si>
  <si>
    <t>Sara Lam / Amazing Media</t>
  </si>
  <si>
    <t>BALRAM Template - Business at a Glance (Quarter 1)</t>
  </si>
  <si>
    <t>Cosmo / Amazing Media</t>
  </si>
  <si>
    <t>Tyvek / Amazing Media</t>
  </si>
  <si>
    <t>CPP/ Paper and Board</t>
  </si>
  <si>
    <t>Copier &amp; Paper</t>
  </si>
  <si>
    <t>Binding Board</t>
  </si>
  <si>
    <t>Others / Amazing Media</t>
  </si>
  <si>
    <t>Acrylic Sheet, Garnett</t>
  </si>
  <si>
    <t>Total Value Sale (Amount)</t>
  </si>
  <si>
    <t>Overdue %age of total due as on 30th June, 2026</t>
  </si>
  <si>
    <t>New Customer Billed in Numbers</t>
  </si>
  <si>
    <t>New Customer Billed in Value</t>
  </si>
  <si>
    <t>Total Customer Met</t>
  </si>
  <si>
    <t>Average Debtor</t>
  </si>
  <si>
    <t>Average Debtor Days (Avereage Debtor/Net sales*90)</t>
  </si>
  <si>
    <t>Overdue Payment as on 30th June 2026 for more than 15 Days</t>
  </si>
  <si>
    <t>Total Due as on 30th June 2026</t>
  </si>
  <si>
    <t>Remarks</t>
  </si>
  <si>
    <t>BALRAM DEWAL</t>
  </si>
  <si>
    <t>Client Name</t>
  </si>
  <si>
    <t>Apr</t>
  </si>
  <si>
    <t>May</t>
  </si>
  <si>
    <t>Jun</t>
  </si>
  <si>
    <t>Grand Total</t>
  </si>
  <si>
    <t>Percentage
Contribution
in sale</t>
  </si>
  <si>
    <t>N.K. TRADERS</t>
  </si>
  <si>
    <t>SHIVAM DIGITAL PRINTERS</t>
  </si>
  <si>
    <t>SURYA POLYFILMS PROP. KIRAN KUSHWAHA</t>
  </si>
  <si>
    <t>KUSH OFFSET PRINTERS PROP SUNIL JAIN</t>
  </si>
  <si>
    <t>HARJEET PRESS LIMITED (SAHARANPUR)</t>
  </si>
  <si>
    <t>UTSAV DIGITAL COLOR LAB</t>
  </si>
  <si>
    <t>BRIGHT DIGITAL PRINTERS (SAHIBABAD)</t>
  </si>
  <si>
    <t>GREEN COLOR LAB PROP. VINEET GOEL</t>
  </si>
  <si>
    <t>MANTRA DIGITAL TECHNOLOGIES LLP</t>
  </si>
  <si>
    <t>SHREE SHYAM GLOBAL PRESS</t>
  </si>
  <si>
    <t>GRAPHICA DIGITAL</t>
  </si>
  <si>
    <t>PICTURA DIGITAL PRINTERS PRIVATE LIMITED</t>
  </si>
  <si>
    <t>SMITA ENTERPRISES PROP.RAKESH KUMAR SRIVASTAVA</t>
  </si>
  <si>
    <t>KASHI INDIGO PRINTERS</t>
  </si>
  <si>
    <t>GAURAV PAPER MART PROP. MAHESH CHANDER SHARMA</t>
  </si>
  <si>
    <t>PREM COLOR LAB PVT. LTD.</t>
  </si>
  <si>
    <t>PRIYA LALL COLOR LAB PVT. LTD.</t>
  </si>
  <si>
    <t>FINAL INDIGO ALBUMS</t>
  </si>
  <si>
    <t>KRISHNA COLOR LAB- AGRA - Mr. Ranjeet</t>
  </si>
  <si>
    <t>NIRMAL ENTERPRISES</t>
  </si>
  <si>
    <t>GIRIRAJ TRADERS.</t>
  </si>
  <si>
    <t>TRUE STAR TECHNOLOGIES LLP</t>
  </si>
  <si>
    <t>POLYPLEX CORPORATION LTD.( KHATIMA)</t>
  </si>
  <si>
    <t>MEHUL PRINT SERVICES</t>
  </si>
  <si>
    <t>TALWAR COLOR LAB &amp; STUDIO</t>
  </si>
  <si>
    <t>GANGA DIGITAL- BHILWARA</t>
  </si>
  <si>
    <t>BALA JI COLOR LAB AND STUDIO PROP RAMAN SINGH KUSHWAHA</t>
  </si>
  <si>
    <t>SHREE KRISHNA ENTERPRISES</t>
  </si>
  <si>
    <t>YASH LAMINATIONS PROP. RAJESH KR. JHA</t>
  </si>
  <si>
    <t>FORTUNE INDIA PRINTERS</t>
  </si>
  <si>
    <t>NAYAN DIGITAL PRESS PRIVATE LIMITED</t>
  </si>
  <si>
    <t>V.S. COLOUR LAB-PANIPAT .  PROP: RAVINDER</t>
  </si>
  <si>
    <t>PRINT MILL (HARYANA )</t>
  </si>
  <si>
    <t>SYANCO COLOUR LAB</t>
  </si>
  <si>
    <t>NORTHSTAR PRINT AND PACKAGING PRIVATE LIMITED</t>
  </si>
  <si>
    <t>COLORS PHOTOBOOK</t>
  </si>
  <si>
    <t>PETHA SEALS PRIVATE LIMITED</t>
  </si>
  <si>
    <t>AGRA COLOR LAB PVT LTD.</t>
  </si>
  <si>
    <t>VS PHOTO EXPRESS</t>
  </si>
  <si>
    <t>GOLDEN INDIGO PRESS (UP)</t>
  </si>
  <si>
    <t>S K ENTERPRISES PROP BIDYA NAND GAUN</t>
  </si>
  <si>
    <t>ROOPKALA DIGITAL PRESS</t>
  </si>
  <si>
    <t>RIDDHI SIDDHI GRAPHICS AND BOOK ALBUM ( UK)</t>
  </si>
  <si>
    <t>RADHA DIGITAL PHOTO STUDIO AND FURNITURE ELECTRONIC HOUSE PROP SANJAY RANA</t>
  </si>
  <si>
    <t xml:space="preserve">CREATIVE PRINTS PROP.RAVI SHANKER SHANDILYA_x000D_
</t>
  </si>
  <si>
    <t>DEEP PHOTO BOOK</t>
  </si>
  <si>
    <t>SHARMA COLOUR LAB PROP.SUMIT KUMAR</t>
  </si>
  <si>
    <t>FOTOFARE PROP. KAMAL RASTOGI</t>
  </si>
  <si>
    <t>EKTA GRAPHICS AND PRINTING SOLUTIONS</t>
  </si>
  <si>
    <t>A.N. PAPER TRADERS</t>
  </si>
  <si>
    <t>ROHILLA COLOUR LAB PROP.ROHIT</t>
  </si>
  <si>
    <t>R.K.ALBUM PROP.REENA GUPTA</t>
  </si>
  <si>
    <t>VRS TECHNOLOGIES</t>
  </si>
  <si>
    <t>AJANTA DIGITAL WORLD PROP PRADEEP KUMAR GUPTA</t>
  </si>
  <si>
    <t>KAY DEE COLOR LAB</t>
  </si>
  <si>
    <t>POLYCO INDUSTRIES PROP.SHALINI BISWAS</t>
  </si>
  <si>
    <t>SAGAR DIGITAL COLOUR LAB .PROP. KULDEEP</t>
  </si>
  <si>
    <t>ANKIT PRINTING SOLUTION PROP SHAILENDRA KUMAR</t>
  </si>
  <si>
    <t>UNIQUE COLOUR LAB PROP AARTI KHULLAR</t>
  </si>
  <si>
    <t>ANAND ALBUM AND COLOR LAB PROP.DEEPAK SHARAM</t>
  </si>
  <si>
    <t>SHREE SHYAM GRAPHICS PROP NITIN KUMAR</t>
  </si>
  <si>
    <t>SURABHI ENTERPRIES .PROP.VISHWANATH BHAGWAN DEDGE</t>
  </si>
  <si>
    <t>DEV COLOUR LAB PROP.DEVENDER SINGH</t>
  </si>
  <si>
    <t>SHRI SHYAM COLOR LAB</t>
  </si>
  <si>
    <t>J S PRINTERS PROP.VARUN SHARMA</t>
  </si>
  <si>
    <t>BLUE FOREST PRINTS</t>
  </si>
  <si>
    <t>S N R K Traders</t>
  </si>
  <si>
    <t>GUPTA TRADING COMPANY-HISAR</t>
  </si>
  <si>
    <t>SETH SONS .PROP KULDEEP SETH</t>
  </si>
  <si>
    <t xml:space="preserve">SHRI ANAND ENTERPRISES PROP.PRADEEP MAHAJAN_x000D_
</t>
  </si>
  <si>
    <t>V.K. DIGITAL COLOUR LAB PROP VINAY KUMAR GUPTA</t>
  </si>
  <si>
    <t>FRIENDS DIGITAL COLOR PRINT SHOP ( NEHRU PLACE )</t>
  </si>
  <si>
    <t>SHASHI PHOTO POINT</t>
  </si>
  <si>
    <t>STYLE COLOUR LAB PROP PRASUN JAIN</t>
  </si>
  <si>
    <t>SHYAM ELCTROSTAT</t>
  </si>
  <si>
    <t>CREATIVE FILES</t>
  </si>
  <si>
    <t>PRABHAT PRINT &amp; MEDIA SOLUTIONS</t>
  </si>
  <si>
    <t>HINDUSTAN CORPORATION (INDIA)</t>
  </si>
  <si>
    <t>SHREE SHYAM DIGITAL HOUSE</t>
  </si>
  <si>
    <t>GANGA ENTERPRISES PROP PURUSHOTTAM GAGRANI</t>
  </si>
  <si>
    <t>SMART WEDDING K ABLUM PROP YOGESH BHARDWAJ</t>
  </si>
  <si>
    <t>S K DIGITAL LAB - GHAZIABAD</t>
  </si>
  <si>
    <t>ORIGINAL GRAPHIC PRINTER PROP.KIRAN BATRA</t>
  </si>
  <si>
    <t>GURUJEE TRADING COMPANY PROP NITESH MIGLANI</t>
  </si>
  <si>
    <t>PURI PHOTO STAT COPY CENTRE PROP JAG MOHAN PURI</t>
  </si>
  <si>
    <t>SHYAM JI STATIONERS</t>
  </si>
  <si>
    <t>SHREE KRISHNA COLOR LAB</t>
  </si>
  <si>
    <t>CONSUL PRINTER</t>
  </si>
  <si>
    <t>BUNTY DIGITAL SOLUTION PROP NITESH AGARWAL</t>
  </si>
  <si>
    <t>CITY DIGI PRINT PROP.RAJIV BINDRA</t>
  </si>
  <si>
    <t>FUJIFILM INDIA PVT LTD</t>
  </si>
  <si>
    <t>MANIVEER STICKER SHOPEE</t>
  </si>
  <si>
    <t>KENJAL ENTERPRISES PROP JAGDEESH PRASAD</t>
  </si>
  <si>
    <t>HANUMAN INSTITUTE OF COMMERCE PROP. SUMIT GARG</t>
  </si>
  <si>
    <t>MANDAGINI SEALS PROP.KASI KANNAN KRISHNA</t>
  </si>
  <si>
    <t>DOLPHIN ENTERPRISES PROP RAJEEV KUMAR AGARWAL</t>
  </si>
  <si>
    <t>ANUYOG PACKAGING</t>
  </si>
  <si>
    <t>MAX DIGITAL COLOUR LAB PROP AJAY KHANNA</t>
  </si>
  <si>
    <t>INSIGHT PRINT COMMUNICATIONS PRIVATE LIMITED</t>
  </si>
  <si>
    <t>SAI ENTERPRISE PROP. LOKESH AGGARWAL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</si>
</sst>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38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0" borderId="0" xfId="0"/>
    <xf numFmtId="0" fontId="3" fillId="0" borderId="0" xfId="0" applyFont="1"/>
    <xf numFmtId="0" fontId="0" fillId="0" borderId="2" xfId="0" applyBorder="1"/>
    <xf numFmtId="0" fontId="2" fillId="2" borderId="2" xfId="0" applyFont="1" applyFill="1" applyBorder="1" applyAlignment="1">
      <alignment horizontal="center"/>
    </xf>
    <xf numFmtId="0" fontId="9" fillId="0" borderId="2" xfId="0" applyFont="1" applyBorder="1"/>
    <xf numFmtId="164" fontId="0" fillId="0" borderId="2" xfId="1" applyFont="1" applyBorder="1"/>
    <xf numFmtId="164" fontId="7" fillId="0" borderId="2" xfId="1" applyFont="1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vertical="center"/>
    </xf>
    <xf numFmtId="164" fontId="0" fillId="0" borderId="2" xfId="1" applyFont="1" applyBorder="1" applyAlignment="1">
      <alignment vertical="center"/>
    </xf>
    <xf numFmtId="164" fontId="7" fillId="0" borderId="2" xfId="1" applyFont="1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3" borderId="2" xfId="0" applyFill="1" applyBorder="1"/>
    <xf numFmtId="164" fontId="0" fillId="3" borderId="2" xfId="1" applyFont="1" applyFill="1" applyBorder="1"/>
    <xf numFmtId="164" fontId="7" fillId="3" borderId="2" xfId="1" applyFont="1" applyFill="1" applyBorder="1"/>
    <xf numFmtId="10" fontId="7" fillId="3" borderId="2" xfId="2" applyNumberFormat="1" applyFont="1" applyFill="1" applyBorder="1"/>
    <xf numFmtId="0" fontId="0" fillId="0" borderId="0" xfId="0" applyAlignment="1">
      <alignment vertical="center"/>
    </xf>
    <xf numFmtId="0" fontId="6" fillId="5" borderId="2" xfId="0" applyFont="1" applyFill="1" applyBorder="1" applyAlignment="1">
      <alignment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43" fontId="11" fillId="6" borderId="2" xfId="0" applyNumberFormat="1" applyFont="1" applyFill="1" applyBorder="1"/>
    <xf numFmtId="10" fontId="12" fillId="7" borderId="2" xfId="2" applyNumberFormat="1" applyFont="1" applyFill="1" applyBorder="1"/>
    <xf numFmtId="43" fontId="6" fillId="5" borderId="2" xfId="0" applyNumberFormat="1" applyFont="1" applyFill="1" applyBorder="1"/>
    <xf numFmtId="0" fontId="6" fillId="8" borderId="2" xfId="0" applyFont="1" applyFill="1" applyBorder="1"/>
    <xf numFmtId="0" fontId="7" fillId="0" borderId="0" xfId="0" applyFont="1" applyFill="1" applyBorder="1" applyAlignment="1">
      <alignment horizontal="left"/>
    </xf>
    <xf numFmtId="43" fontId="7" fillId="0" borderId="0" xfId="0" applyNumberFormat="1" applyFont="1" applyFill="1" applyBorder="1"/>
    <xf numFmtId="0" fontId="0" fillId="0" borderId="0" xfId="0" applyFill="1" applyBorder="1"/>
    <xf numFmtId="0" fontId="12" fillId="9" borderId="2" xfId="0" applyFont="1" applyFill="1" applyBorder="1" applyAlignment="1">
      <alignment horizontal="left"/>
    </xf>
    <xf numFmtId="0" fontId="12" fillId="10" borderId="2" xfId="0" applyFont="1" applyFill="1" applyBorder="1" applyAlignment="1">
      <alignment horizontal="left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4">
    <cellStyle name="Comma" xfId="1" builtinId="3"/>
    <cellStyle name="Comma 2" xf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opLeftCell="A16" workbookViewId="0">
      <selection sqref="A1:F1"/>
    </sheetView>
  </sheetViews>
  <sheetFormatPr defaultRowHeight="18.45" customHeight="1" x14ac:dyDescent="0.3"/>
  <cols>
    <col min="1" max="1" width="28.33203125" customWidth="1"/>
    <col min="2" max="2" width="13.44140625" customWidth="1"/>
    <col min="3" max="3" width="14.5546875" customWidth="1"/>
    <col min="4" max="4" width="13.6640625" bestFit="1" customWidth="1"/>
    <col min="5" max="5" width="15.6640625" customWidth="1"/>
  </cols>
  <sheetData>
    <row r="1" spans="1:6" ht="18.45" customHeight="1" x14ac:dyDescent="0.35">
      <c r="A1" s="32" t="s">
        <v>36</v>
      </c>
      <c r="B1" s="33"/>
      <c r="C1" s="33"/>
      <c r="D1" s="33"/>
      <c r="E1" s="33"/>
      <c r="F1" s="34"/>
    </row>
    <row r="2" spans="1:6" ht="18.45" customHeight="1" x14ac:dyDescent="0.3">
      <c r="A2" s="5"/>
      <c r="B2" s="5"/>
      <c r="C2" s="5"/>
      <c r="D2" s="5"/>
      <c r="E2" s="5"/>
      <c r="F2" s="5"/>
    </row>
    <row r="3" spans="1:6" ht="18.45" customHeight="1" x14ac:dyDescent="0.3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53</v>
      </c>
    </row>
    <row r="4" spans="1:6" ht="18.45" customHeight="1" x14ac:dyDescent="0.3">
      <c r="A4" s="7" t="s">
        <v>30</v>
      </c>
      <c r="B4" s="8">
        <v>2085.39</v>
      </c>
      <c r="C4" s="8">
        <v>942.98</v>
      </c>
      <c r="D4" s="8">
        <v>428.37</v>
      </c>
      <c r="E4" s="9">
        <f t="shared" ref="E4:E14" si="0">SUM(B4:D4)</f>
        <v>3456.74</v>
      </c>
      <c r="F4" s="5"/>
    </row>
    <row r="5" spans="1:6" ht="28.8" x14ac:dyDescent="0.3">
      <c r="A5" s="7" t="s">
        <v>31</v>
      </c>
      <c r="B5" s="8">
        <v>3345.8</v>
      </c>
      <c r="C5" s="8">
        <v>8542.44</v>
      </c>
      <c r="D5" s="8">
        <v>4563.74</v>
      </c>
      <c r="E5" s="9">
        <f t="shared" si="0"/>
        <v>16451.980000000003</v>
      </c>
      <c r="F5" s="10" t="s">
        <v>40</v>
      </c>
    </row>
    <row r="6" spans="1:6" s="3" customFormat="1" ht="18.45" customHeight="1" x14ac:dyDescent="0.3">
      <c r="A6" s="5" t="s">
        <v>41</v>
      </c>
      <c r="B6" s="8">
        <f>1859.5+1328.25</f>
        <v>3187.75</v>
      </c>
      <c r="C6" s="8">
        <v>3028.14</v>
      </c>
      <c r="D6" s="8">
        <v>3593.18</v>
      </c>
      <c r="E6" s="9">
        <f t="shared" si="0"/>
        <v>9809.07</v>
      </c>
      <c r="F6" s="5"/>
    </row>
    <row r="7" spans="1:6" s="3" customFormat="1" ht="18.45" customHeight="1" x14ac:dyDescent="0.3">
      <c r="A7" s="5" t="s">
        <v>39</v>
      </c>
      <c r="B7" s="8">
        <v>0</v>
      </c>
      <c r="C7" s="8">
        <v>116.03</v>
      </c>
      <c r="D7" s="8">
        <v>0</v>
      </c>
      <c r="E7" s="9">
        <f t="shared" si="0"/>
        <v>116.03</v>
      </c>
      <c r="F7" s="5"/>
    </row>
    <row r="8" spans="1:6" ht="18.45" customHeight="1" x14ac:dyDescent="0.3">
      <c r="A8" s="5" t="s">
        <v>34</v>
      </c>
      <c r="B8" s="8">
        <v>11700</v>
      </c>
      <c r="C8" s="8">
        <v>12300</v>
      </c>
      <c r="D8" s="8">
        <v>13632</v>
      </c>
      <c r="E8" s="9">
        <f t="shared" si="0"/>
        <v>37632</v>
      </c>
      <c r="F8" s="5"/>
    </row>
    <row r="9" spans="1:6" ht="18.45" customHeight="1" x14ac:dyDescent="0.3">
      <c r="A9" s="5" t="s">
        <v>32</v>
      </c>
      <c r="B9" s="8">
        <v>996600</v>
      </c>
      <c r="C9" s="8">
        <v>1357525</v>
      </c>
      <c r="D9" s="8">
        <v>1366554</v>
      </c>
      <c r="E9" s="9">
        <f t="shared" si="0"/>
        <v>3720679</v>
      </c>
      <c r="F9" s="5"/>
    </row>
    <row r="10" spans="1:6" ht="18.45" customHeight="1" x14ac:dyDescent="0.3">
      <c r="A10" s="5" t="s">
        <v>33</v>
      </c>
      <c r="B10" s="8">
        <v>499.98</v>
      </c>
      <c r="C10" s="8">
        <v>934.7</v>
      </c>
      <c r="D10" s="8">
        <v>1486.68</v>
      </c>
      <c r="E10" s="9">
        <f t="shared" si="0"/>
        <v>2921.36</v>
      </c>
      <c r="F10" s="5"/>
    </row>
    <row r="11" spans="1:6" ht="18.45" customHeight="1" x14ac:dyDescent="0.3">
      <c r="A11" s="5" t="s">
        <v>35</v>
      </c>
      <c r="B11" s="8">
        <v>57932.97</v>
      </c>
      <c r="C11" s="8">
        <v>22110.3</v>
      </c>
      <c r="D11" s="8">
        <v>20223.38</v>
      </c>
      <c r="E11" s="9">
        <f t="shared" si="0"/>
        <v>100266.65000000001</v>
      </c>
      <c r="F11" s="5"/>
    </row>
    <row r="12" spans="1:6" ht="18.45" customHeight="1" x14ac:dyDescent="0.3">
      <c r="A12" s="5" t="s">
        <v>37</v>
      </c>
      <c r="B12" s="8">
        <v>37500</v>
      </c>
      <c r="C12" s="8">
        <v>2520</v>
      </c>
      <c r="D12" s="8">
        <v>1500</v>
      </c>
      <c r="E12" s="9">
        <f t="shared" si="0"/>
        <v>41520</v>
      </c>
      <c r="F12" s="5"/>
    </row>
    <row r="13" spans="1:6" ht="18.45" customHeight="1" x14ac:dyDescent="0.3">
      <c r="A13" s="5" t="s">
        <v>38</v>
      </c>
      <c r="B13" s="8">
        <v>0</v>
      </c>
      <c r="C13" s="8">
        <v>101.6</v>
      </c>
      <c r="D13" s="8">
        <v>0</v>
      </c>
      <c r="E13" s="9">
        <f t="shared" si="0"/>
        <v>101.6</v>
      </c>
      <c r="F13" s="5"/>
    </row>
    <row r="14" spans="1:6" ht="43.2" x14ac:dyDescent="0.3">
      <c r="A14" s="11" t="s">
        <v>42</v>
      </c>
      <c r="B14" s="12">
        <v>145</v>
      </c>
      <c r="C14" s="12">
        <v>30</v>
      </c>
      <c r="D14" s="12">
        <v>0</v>
      </c>
      <c r="E14" s="13">
        <f t="shared" si="0"/>
        <v>175</v>
      </c>
      <c r="F14" s="14" t="s">
        <v>43</v>
      </c>
    </row>
    <row r="15" spans="1:6" ht="18.45" customHeight="1" x14ac:dyDescent="0.3">
      <c r="A15" s="5"/>
      <c r="B15" s="8"/>
      <c r="C15" s="8"/>
      <c r="D15" s="8"/>
      <c r="E15" s="8"/>
      <c r="F15" s="5"/>
    </row>
    <row r="16" spans="1:6" ht="18.45" customHeight="1" x14ac:dyDescent="0.3">
      <c r="A16" s="5"/>
      <c r="B16" s="8"/>
      <c r="C16" s="8"/>
      <c r="D16" s="8"/>
      <c r="E16" s="8"/>
      <c r="F16" s="5"/>
    </row>
    <row r="17" spans="1:6" ht="18.45" customHeight="1" x14ac:dyDescent="0.3">
      <c r="A17" s="5"/>
      <c r="B17" s="8"/>
      <c r="C17" s="8"/>
      <c r="D17" s="8"/>
      <c r="E17" s="8"/>
      <c r="F17" s="5"/>
    </row>
    <row r="18" spans="1:6" ht="18.45" customHeight="1" x14ac:dyDescent="0.3">
      <c r="A18" s="15" t="s">
        <v>44</v>
      </c>
      <c r="B18" s="16">
        <v>29312859.739999998</v>
      </c>
      <c r="C18" s="16">
        <v>29906908.510000002</v>
      </c>
      <c r="D18" s="16">
        <v>27796852.02</v>
      </c>
      <c r="E18" s="17">
        <f>SUM(B18:D18)</f>
        <v>87016620.269999996</v>
      </c>
      <c r="F18" s="5"/>
    </row>
    <row r="19" spans="1:6" ht="18.45" customHeight="1" x14ac:dyDescent="0.3">
      <c r="A19" s="15" t="s">
        <v>6</v>
      </c>
      <c r="B19" s="16">
        <v>25806174</v>
      </c>
      <c r="C19" s="16">
        <v>34329337</v>
      </c>
      <c r="D19" s="16">
        <v>43028540</v>
      </c>
      <c r="E19" s="17">
        <f>SUM(B19:D19)</f>
        <v>103164051</v>
      </c>
      <c r="F19" s="5"/>
    </row>
    <row r="20" spans="1:6" s="3" customFormat="1" ht="18.45" customHeight="1" x14ac:dyDescent="0.3">
      <c r="A20" s="15" t="s">
        <v>49</v>
      </c>
      <c r="B20" s="16"/>
      <c r="C20" s="16"/>
      <c r="D20" s="16"/>
      <c r="E20" s="17">
        <f>(27598970.5+33687603)/2</f>
        <v>30643286.75</v>
      </c>
      <c r="F20" s="5"/>
    </row>
    <row r="21" spans="1:6" s="3" customFormat="1" ht="18.45" customHeight="1" x14ac:dyDescent="0.3">
      <c r="A21" s="15" t="s">
        <v>50</v>
      </c>
      <c r="B21" s="16"/>
      <c r="C21" s="16"/>
      <c r="D21" s="16"/>
      <c r="E21" s="17">
        <f>E20/E18*90</f>
        <v>31.693897084748269</v>
      </c>
      <c r="F21" s="5"/>
    </row>
    <row r="22" spans="1:6" s="3" customFormat="1" ht="18.45" customHeight="1" x14ac:dyDescent="0.3">
      <c r="A22" s="15" t="s">
        <v>51</v>
      </c>
      <c r="B22" s="16"/>
      <c r="C22" s="16"/>
      <c r="D22" s="16"/>
      <c r="E22" s="17">
        <v>3081547</v>
      </c>
      <c r="F22" s="5"/>
    </row>
    <row r="23" spans="1:6" s="3" customFormat="1" ht="18.45" customHeight="1" x14ac:dyDescent="0.3">
      <c r="A23" s="15" t="s">
        <v>52</v>
      </c>
      <c r="B23" s="16"/>
      <c r="C23" s="16"/>
      <c r="D23" s="16"/>
      <c r="E23" s="17">
        <v>34534361</v>
      </c>
      <c r="F23" s="5"/>
    </row>
    <row r="24" spans="1:6" ht="18.45" customHeight="1" x14ac:dyDescent="0.3">
      <c r="A24" s="15" t="s">
        <v>45</v>
      </c>
      <c r="B24" s="16"/>
      <c r="C24" s="16"/>
      <c r="D24" s="16"/>
      <c r="E24" s="18">
        <f>E22/E23</f>
        <v>8.9231331079211218E-2</v>
      </c>
      <c r="F24" s="5"/>
    </row>
  </sheetData>
  <mergeCells count="1">
    <mergeCell ref="A1:F1"/>
  </mergeCells>
  <phoneticPr fontId="4" type="noConversion"/>
  <pageMargins left="0.75" right="0.75" top="1" bottom="1" header="0.5" footer="0.5"/>
  <pageSetup paperSize="9" scale="9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9"/>
  <sheetViews>
    <sheetView tabSelected="1" topLeftCell="A94" workbookViewId="0">
      <selection sqref="A1:F1"/>
    </sheetView>
  </sheetViews>
  <sheetFormatPr defaultColWidth="8.77734375" defaultRowHeight="14.4" x14ac:dyDescent="0.3"/>
  <cols>
    <col min="1" max="1" width="33.44140625" style="3" customWidth="1"/>
    <col min="2" max="5" width="14.21875" style="3" bestFit="1" customWidth="1"/>
    <col min="6" max="6" width="10.21875" style="3" customWidth="1"/>
    <col min="7" max="16384" width="8.77734375" style="3"/>
  </cols>
  <sheetData>
    <row r="1" spans="1:6" s="19" customFormat="1" ht="28.8" customHeight="1" x14ac:dyDescent="0.3">
      <c r="A1" s="35" t="s">
        <v>54</v>
      </c>
      <c r="B1" s="35"/>
      <c r="C1" s="35"/>
      <c r="D1" s="35"/>
      <c r="E1" s="35"/>
      <c r="F1" s="35"/>
    </row>
    <row r="2" spans="1:6" s="19" customFormat="1" ht="72" x14ac:dyDescent="0.3">
      <c r="A2" s="20" t="s">
        <v>55</v>
      </c>
      <c r="B2" s="21" t="s">
        <v>56</v>
      </c>
      <c r="C2" s="21" t="s">
        <v>57</v>
      </c>
      <c r="D2" s="21" t="s">
        <v>58</v>
      </c>
      <c r="E2" s="21" t="s">
        <v>59</v>
      </c>
      <c r="F2" s="22" t="s">
        <v>60</v>
      </c>
    </row>
    <row r="3" spans="1:6" x14ac:dyDescent="0.3">
      <c r="A3" s="30" t="s">
        <v>61</v>
      </c>
      <c r="B3" s="23">
        <v>3302294.7</v>
      </c>
      <c r="C3" s="23">
        <v>5485357.1600000001</v>
      </c>
      <c r="D3" s="23">
        <v>4668979.1899999995</v>
      </c>
      <c r="E3" s="23">
        <v>13456631.049999999</v>
      </c>
      <c r="F3" s="24">
        <f t="shared" ref="F3:F66" si="0">E3/E$103</f>
        <v>0.15464437722639665</v>
      </c>
    </row>
    <row r="4" spans="1:6" x14ac:dyDescent="0.3">
      <c r="A4" s="30" t="s">
        <v>62</v>
      </c>
      <c r="B4" s="23">
        <v>3460700</v>
      </c>
      <c r="C4" s="23">
        <v>2746398.4</v>
      </c>
      <c r="D4" s="23">
        <v>2639600</v>
      </c>
      <c r="E4" s="23">
        <v>8846698.4000000004</v>
      </c>
      <c r="F4" s="24">
        <f t="shared" si="0"/>
        <v>0.10166676633210954</v>
      </c>
    </row>
    <row r="5" spans="1:6" x14ac:dyDescent="0.3">
      <c r="A5" s="30" t="s">
        <v>63</v>
      </c>
      <c r="B5" s="23">
        <v>6497799.8099999996</v>
      </c>
      <c r="C5" s="23"/>
      <c r="D5" s="23"/>
      <c r="E5" s="23">
        <v>6497799.8099999996</v>
      </c>
      <c r="F5" s="24">
        <f t="shared" si="0"/>
        <v>7.4673088771297511E-2</v>
      </c>
    </row>
    <row r="6" spans="1:6" x14ac:dyDescent="0.3">
      <c r="A6" s="30" t="s">
        <v>64</v>
      </c>
      <c r="B6" s="23">
        <v>1297997.5</v>
      </c>
      <c r="C6" s="23">
        <v>2419627.0999999996</v>
      </c>
      <c r="D6" s="23">
        <v>1559853.5</v>
      </c>
      <c r="E6" s="23">
        <v>5277478.0999999996</v>
      </c>
      <c r="F6" s="24">
        <f t="shared" si="0"/>
        <v>6.0649081561944665E-2</v>
      </c>
    </row>
    <row r="7" spans="1:6" x14ac:dyDescent="0.3">
      <c r="A7" s="30" t="s">
        <v>65</v>
      </c>
      <c r="B7" s="23">
        <v>1528085</v>
      </c>
      <c r="C7" s="23">
        <v>1516972.2</v>
      </c>
      <c r="D7" s="23">
        <v>1858546</v>
      </c>
      <c r="E7" s="23">
        <v>4903603.2</v>
      </c>
      <c r="F7" s="24">
        <f t="shared" si="0"/>
        <v>5.6352489728799228E-2</v>
      </c>
    </row>
    <row r="8" spans="1:6" x14ac:dyDescent="0.3">
      <c r="A8" s="30" t="s">
        <v>66</v>
      </c>
      <c r="B8" s="23">
        <v>1799000.4</v>
      </c>
      <c r="C8" s="23">
        <v>1326399.1499999999</v>
      </c>
      <c r="D8" s="23">
        <v>1048216</v>
      </c>
      <c r="E8" s="23">
        <v>4173615.55</v>
      </c>
      <c r="F8" s="24">
        <f t="shared" si="0"/>
        <v>4.7963429710897433E-2</v>
      </c>
    </row>
    <row r="9" spans="1:6" x14ac:dyDescent="0.3">
      <c r="A9" s="30" t="s">
        <v>67</v>
      </c>
      <c r="B9" s="23">
        <v>1085125</v>
      </c>
      <c r="C9" s="23">
        <v>1403886.2</v>
      </c>
      <c r="D9" s="23">
        <v>1583242.4</v>
      </c>
      <c r="E9" s="23">
        <v>4072253.6</v>
      </c>
      <c r="F9" s="24">
        <f t="shared" si="0"/>
        <v>4.6798572357377055E-2</v>
      </c>
    </row>
    <row r="10" spans="1:6" x14ac:dyDescent="0.3">
      <c r="A10" s="30" t="s">
        <v>68</v>
      </c>
      <c r="B10" s="23">
        <v>1132727.2</v>
      </c>
      <c r="C10" s="23">
        <v>1455259.8200000003</v>
      </c>
      <c r="D10" s="23">
        <v>1014826.4</v>
      </c>
      <c r="E10" s="23">
        <v>3602813.4200000004</v>
      </c>
      <c r="F10" s="24">
        <f t="shared" si="0"/>
        <v>4.1403738835420055E-2</v>
      </c>
    </row>
    <row r="11" spans="1:6" x14ac:dyDescent="0.3">
      <c r="A11" s="30" t="s">
        <v>69</v>
      </c>
      <c r="B11" s="23">
        <v>1088699.4600000002</v>
      </c>
      <c r="C11" s="23">
        <v>1120549.1199999999</v>
      </c>
      <c r="D11" s="23">
        <v>1178314.8799999999</v>
      </c>
      <c r="E11" s="23">
        <v>3387563.46</v>
      </c>
      <c r="F11" s="24">
        <f t="shared" si="0"/>
        <v>3.8930073927128848E-2</v>
      </c>
    </row>
    <row r="12" spans="1:6" x14ac:dyDescent="0.3">
      <c r="A12" s="30" t="s">
        <v>70</v>
      </c>
      <c r="B12" s="23">
        <v>688080</v>
      </c>
      <c r="C12" s="23">
        <v>1384593.2</v>
      </c>
      <c r="D12" s="23">
        <v>1250071.2</v>
      </c>
      <c r="E12" s="23">
        <v>3322744.4</v>
      </c>
      <c r="F12" s="24">
        <f t="shared" si="0"/>
        <v>3.8185169565193439E-2</v>
      </c>
    </row>
    <row r="13" spans="1:6" x14ac:dyDescent="0.3">
      <c r="A13" s="30" t="s">
        <v>71</v>
      </c>
      <c r="B13" s="23">
        <v>663457</v>
      </c>
      <c r="C13" s="23">
        <v>1423233.5</v>
      </c>
      <c r="D13" s="23">
        <v>591350.6</v>
      </c>
      <c r="E13" s="23">
        <v>2678041.1</v>
      </c>
      <c r="F13" s="24">
        <f t="shared" si="0"/>
        <v>3.0776202197814902E-2</v>
      </c>
    </row>
    <row r="14" spans="1:6" x14ac:dyDescent="0.3">
      <c r="A14" s="30" t="s">
        <v>72</v>
      </c>
      <c r="B14" s="23">
        <v>432095</v>
      </c>
      <c r="C14" s="23">
        <v>656800</v>
      </c>
      <c r="D14" s="23">
        <v>738000</v>
      </c>
      <c r="E14" s="23">
        <v>1826895</v>
      </c>
      <c r="F14" s="24">
        <f t="shared" si="0"/>
        <v>2.099478231091265E-2</v>
      </c>
    </row>
    <row r="15" spans="1:6" x14ac:dyDescent="0.3">
      <c r="A15" s="30" t="s">
        <v>73</v>
      </c>
      <c r="B15" s="23">
        <v>236265.8</v>
      </c>
      <c r="C15" s="23">
        <v>544243.28</v>
      </c>
      <c r="D15" s="23">
        <v>883005.7</v>
      </c>
      <c r="E15" s="23">
        <v>1663514.78</v>
      </c>
      <c r="F15" s="24">
        <f t="shared" si="0"/>
        <v>1.9117207435066466E-2</v>
      </c>
    </row>
    <row r="16" spans="1:6" x14ac:dyDescent="0.3">
      <c r="A16" s="30" t="s">
        <v>74</v>
      </c>
      <c r="B16" s="23">
        <v>166597.5</v>
      </c>
      <c r="C16" s="23">
        <v>661583.13</v>
      </c>
      <c r="D16" s="23">
        <v>543282.75</v>
      </c>
      <c r="E16" s="23">
        <v>1371463.38</v>
      </c>
      <c r="F16" s="24">
        <f t="shared" si="0"/>
        <v>1.5760935965388526E-2</v>
      </c>
    </row>
    <row r="17" spans="1:6" x14ac:dyDescent="0.3">
      <c r="A17" s="30" t="s">
        <v>75</v>
      </c>
      <c r="B17" s="23">
        <v>291204.94999999995</v>
      </c>
      <c r="C17" s="23">
        <v>575744.82000000007</v>
      </c>
      <c r="D17" s="23">
        <v>309166.99000000005</v>
      </c>
      <c r="E17" s="23">
        <v>1176116.76</v>
      </c>
      <c r="F17" s="24">
        <f t="shared" si="0"/>
        <v>1.3516001383996288E-2</v>
      </c>
    </row>
    <row r="18" spans="1:6" x14ac:dyDescent="0.3">
      <c r="A18" s="30" t="s">
        <v>76</v>
      </c>
      <c r="B18" s="23">
        <v>210343.75</v>
      </c>
      <c r="C18" s="23">
        <v>363000</v>
      </c>
      <c r="D18" s="23">
        <v>484140.4</v>
      </c>
      <c r="E18" s="23">
        <v>1057484.1499999999</v>
      </c>
      <c r="F18" s="24">
        <f t="shared" si="0"/>
        <v>1.2152668613407172E-2</v>
      </c>
    </row>
    <row r="19" spans="1:6" x14ac:dyDescent="0.3">
      <c r="A19" s="30" t="s">
        <v>77</v>
      </c>
      <c r="B19" s="23">
        <v>394430</v>
      </c>
      <c r="C19" s="23">
        <v>372142.4</v>
      </c>
      <c r="D19" s="23">
        <v>285000</v>
      </c>
      <c r="E19" s="23">
        <v>1051572.3999999999</v>
      </c>
      <c r="F19" s="24">
        <f t="shared" si="0"/>
        <v>1.2084730442726024E-2</v>
      </c>
    </row>
    <row r="20" spans="1:6" x14ac:dyDescent="0.3">
      <c r="A20" s="30" t="s">
        <v>78</v>
      </c>
      <c r="B20" s="23">
        <v>208000</v>
      </c>
      <c r="C20" s="23">
        <v>657372</v>
      </c>
      <c r="D20" s="23"/>
      <c r="E20" s="23">
        <v>865372</v>
      </c>
      <c r="F20" s="24">
        <f t="shared" si="0"/>
        <v>9.9449047471032014E-3</v>
      </c>
    </row>
    <row r="21" spans="1:6" x14ac:dyDescent="0.3">
      <c r="A21" s="30" t="s">
        <v>79</v>
      </c>
      <c r="B21" s="23">
        <v>113000</v>
      </c>
      <c r="C21" s="23">
        <v>423105</v>
      </c>
      <c r="D21" s="23">
        <v>306950</v>
      </c>
      <c r="E21" s="23">
        <v>843055</v>
      </c>
      <c r="F21" s="24">
        <f t="shared" si="0"/>
        <v>9.6884365007986039E-3</v>
      </c>
    </row>
    <row r="22" spans="1:6" x14ac:dyDescent="0.3">
      <c r="A22" s="30" t="s">
        <v>80</v>
      </c>
      <c r="B22" s="23">
        <v>300000</v>
      </c>
      <c r="C22" s="23">
        <v>239921.24</v>
      </c>
      <c r="D22" s="23">
        <v>292935</v>
      </c>
      <c r="E22" s="23">
        <v>832856.24</v>
      </c>
      <c r="F22" s="24">
        <f t="shared" si="0"/>
        <v>9.5712317648716655E-3</v>
      </c>
    </row>
    <row r="23" spans="1:6" x14ac:dyDescent="0.3">
      <c r="A23" s="30" t="s">
        <v>81</v>
      </c>
      <c r="B23" s="23">
        <v>229480</v>
      </c>
      <c r="C23" s="23">
        <v>403082</v>
      </c>
      <c r="D23" s="23">
        <v>134483.24</v>
      </c>
      <c r="E23" s="23">
        <v>767045.24</v>
      </c>
      <c r="F23" s="24">
        <f t="shared" si="0"/>
        <v>8.814927971460728E-3</v>
      </c>
    </row>
    <row r="24" spans="1:6" x14ac:dyDescent="0.3">
      <c r="A24" s="30" t="s">
        <v>82</v>
      </c>
      <c r="B24" s="23">
        <v>149608.88</v>
      </c>
      <c r="C24" s="23">
        <v>142600</v>
      </c>
      <c r="D24" s="23">
        <v>454087.63</v>
      </c>
      <c r="E24" s="23">
        <v>746296.51</v>
      </c>
      <c r="F24" s="24">
        <f t="shared" si="0"/>
        <v>8.5764823741068027E-3</v>
      </c>
    </row>
    <row r="25" spans="1:6" x14ac:dyDescent="0.3">
      <c r="A25" s="30" t="s">
        <v>83</v>
      </c>
      <c r="B25" s="23">
        <v>716700</v>
      </c>
      <c r="C25" s="23"/>
      <c r="D25" s="23"/>
      <c r="E25" s="23">
        <v>716700</v>
      </c>
      <c r="F25" s="24">
        <f t="shared" si="0"/>
        <v>8.236357580611418E-3</v>
      </c>
    </row>
    <row r="26" spans="1:6" x14ac:dyDescent="0.3">
      <c r="A26" s="30" t="s">
        <v>84</v>
      </c>
      <c r="B26" s="23">
        <v>258222.5</v>
      </c>
      <c r="C26" s="23">
        <v>159300</v>
      </c>
      <c r="D26" s="23">
        <v>247961.4</v>
      </c>
      <c r="E26" s="23">
        <v>665483.9</v>
      </c>
      <c r="F26" s="24">
        <f t="shared" si="0"/>
        <v>7.6477792166036711E-3</v>
      </c>
    </row>
    <row r="27" spans="1:6" x14ac:dyDescent="0.3">
      <c r="A27" s="30" t="s">
        <v>85</v>
      </c>
      <c r="B27" s="23"/>
      <c r="C27" s="23">
        <v>214974</v>
      </c>
      <c r="D27" s="23">
        <v>435036</v>
      </c>
      <c r="E27" s="23">
        <v>650010</v>
      </c>
      <c r="F27" s="24">
        <f t="shared" si="0"/>
        <v>7.4699522686943317E-3</v>
      </c>
    </row>
    <row r="28" spans="1:6" x14ac:dyDescent="0.3">
      <c r="A28" s="30" t="s">
        <v>86</v>
      </c>
      <c r="B28" s="23"/>
      <c r="C28" s="23">
        <v>362640</v>
      </c>
      <c r="D28" s="23">
        <v>282800</v>
      </c>
      <c r="E28" s="23">
        <v>645440</v>
      </c>
      <c r="F28" s="24">
        <f t="shared" si="0"/>
        <v>7.417433566108321E-3</v>
      </c>
    </row>
    <row r="29" spans="1:6" x14ac:dyDescent="0.3">
      <c r="A29" s="30" t="s">
        <v>87</v>
      </c>
      <c r="B29" s="23">
        <v>142500</v>
      </c>
      <c r="C29" s="23">
        <v>254087.5</v>
      </c>
      <c r="D29" s="23">
        <v>149950</v>
      </c>
      <c r="E29" s="23">
        <v>546537.5</v>
      </c>
      <c r="F29" s="24">
        <f t="shared" si="0"/>
        <v>6.280840353304608E-3</v>
      </c>
    </row>
    <row r="30" spans="1:6" x14ac:dyDescent="0.3">
      <c r="A30" s="30" t="s">
        <v>88</v>
      </c>
      <c r="B30" s="23">
        <v>243287.5</v>
      </c>
      <c r="C30" s="23">
        <v>225194.5</v>
      </c>
      <c r="D30" s="23">
        <v>39000</v>
      </c>
      <c r="E30" s="23">
        <v>507482</v>
      </c>
      <c r="F30" s="24">
        <f t="shared" si="0"/>
        <v>5.8320123032284685E-3</v>
      </c>
    </row>
    <row r="31" spans="1:6" x14ac:dyDescent="0.3">
      <c r="A31" s="30" t="s">
        <v>89</v>
      </c>
      <c r="B31" s="23">
        <v>103401.2</v>
      </c>
      <c r="C31" s="23">
        <v>76384</v>
      </c>
      <c r="D31" s="23">
        <v>287728</v>
      </c>
      <c r="E31" s="23">
        <v>467513.2</v>
      </c>
      <c r="F31" s="24">
        <f t="shared" si="0"/>
        <v>5.3726885570753481E-3</v>
      </c>
    </row>
    <row r="32" spans="1:6" x14ac:dyDescent="0.3">
      <c r="A32" s="30" t="s">
        <v>90</v>
      </c>
      <c r="B32" s="23">
        <v>121250</v>
      </c>
      <c r="C32" s="23">
        <v>128850</v>
      </c>
      <c r="D32" s="23">
        <v>189000</v>
      </c>
      <c r="E32" s="23">
        <v>439100</v>
      </c>
      <c r="F32" s="24">
        <f t="shared" si="0"/>
        <v>5.0461624300913539E-3</v>
      </c>
    </row>
    <row r="33" spans="1:6" x14ac:dyDescent="0.3">
      <c r="A33" s="30" t="s">
        <v>91</v>
      </c>
      <c r="B33" s="23"/>
      <c r="C33" s="23"/>
      <c r="D33" s="23">
        <v>434700</v>
      </c>
      <c r="E33" s="23">
        <v>434700</v>
      </c>
      <c r="F33" s="24">
        <f t="shared" si="0"/>
        <v>4.9955973772733133E-3</v>
      </c>
    </row>
    <row r="34" spans="1:6" x14ac:dyDescent="0.3">
      <c r="A34" s="30" t="s">
        <v>92</v>
      </c>
      <c r="B34" s="23"/>
      <c r="C34" s="23">
        <v>358431.82</v>
      </c>
      <c r="D34" s="23">
        <v>50724.800000000003</v>
      </c>
      <c r="E34" s="23">
        <v>409156.62</v>
      </c>
      <c r="F34" s="24">
        <f t="shared" si="0"/>
        <v>4.7020513866252896E-3</v>
      </c>
    </row>
    <row r="35" spans="1:6" x14ac:dyDescent="0.3">
      <c r="A35" s="30" t="s">
        <v>93</v>
      </c>
      <c r="B35" s="23">
        <v>101670.5</v>
      </c>
      <c r="C35" s="23">
        <v>173034.25</v>
      </c>
      <c r="D35" s="23">
        <v>126962.5</v>
      </c>
      <c r="E35" s="23">
        <v>401667.25</v>
      </c>
      <c r="F35" s="24">
        <f t="shared" si="0"/>
        <v>4.6159831162562318E-3</v>
      </c>
    </row>
    <row r="36" spans="1:6" x14ac:dyDescent="0.3">
      <c r="A36" s="30" t="s">
        <v>94</v>
      </c>
      <c r="B36" s="23">
        <v>171160</v>
      </c>
      <c r="C36" s="23"/>
      <c r="D36" s="23">
        <v>230038.2</v>
      </c>
      <c r="E36" s="23">
        <v>401198.2</v>
      </c>
      <c r="F36" s="24">
        <f t="shared" si="0"/>
        <v>4.6105927667052541E-3</v>
      </c>
    </row>
    <row r="37" spans="1:6" x14ac:dyDescent="0.3">
      <c r="A37" s="30" t="s">
        <v>95</v>
      </c>
      <c r="B37" s="23"/>
      <c r="C37" s="23"/>
      <c r="D37" s="23">
        <v>396000</v>
      </c>
      <c r="E37" s="23">
        <v>396000</v>
      </c>
      <c r="F37" s="24">
        <f t="shared" si="0"/>
        <v>4.5508547536237216E-3</v>
      </c>
    </row>
    <row r="38" spans="1:6" x14ac:dyDescent="0.3">
      <c r="A38" s="30" t="s">
        <v>96</v>
      </c>
      <c r="B38" s="23"/>
      <c r="C38" s="23">
        <v>137785.54</v>
      </c>
      <c r="D38" s="23">
        <v>250560</v>
      </c>
      <c r="E38" s="23">
        <v>388345.54000000004</v>
      </c>
      <c r="F38" s="24">
        <f t="shared" si="0"/>
        <v>4.462889259488817E-3</v>
      </c>
    </row>
    <row r="39" spans="1:6" x14ac:dyDescent="0.3">
      <c r="A39" s="30" t="s">
        <v>97</v>
      </c>
      <c r="B39" s="23"/>
      <c r="C39" s="23">
        <v>381441</v>
      </c>
      <c r="D39" s="23"/>
      <c r="E39" s="23">
        <v>381441</v>
      </c>
      <c r="F39" s="24">
        <f t="shared" si="0"/>
        <v>4.3835418890832986E-3</v>
      </c>
    </row>
    <row r="40" spans="1:6" x14ac:dyDescent="0.3">
      <c r="A40" s="30" t="s">
        <v>98</v>
      </c>
      <c r="B40" s="23">
        <v>143526.56</v>
      </c>
      <c r="C40" s="23">
        <v>96872</v>
      </c>
      <c r="D40" s="23">
        <v>116174.39999999999</v>
      </c>
      <c r="E40" s="23">
        <v>356572.95999999996</v>
      </c>
      <c r="F40" s="24">
        <f t="shared" si="0"/>
        <v>4.0977569445193969E-3</v>
      </c>
    </row>
    <row r="41" spans="1:6" x14ac:dyDescent="0.3">
      <c r="A41" s="30" t="s">
        <v>99</v>
      </c>
      <c r="B41" s="23"/>
      <c r="C41" s="23">
        <v>238861.4</v>
      </c>
      <c r="D41" s="23">
        <v>111800</v>
      </c>
      <c r="E41" s="23">
        <v>350661.4</v>
      </c>
      <c r="F41" s="24">
        <f t="shared" si="0"/>
        <v>4.0298209573291655E-3</v>
      </c>
    </row>
    <row r="42" spans="1:6" x14ac:dyDescent="0.3">
      <c r="A42" s="30" t="s">
        <v>100</v>
      </c>
      <c r="B42" s="23">
        <v>78650</v>
      </c>
      <c r="C42" s="23"/>
      <c r="D42" s="23">
        <v>264500.13</v>
      </c>
      <c r="E42" s="23">
        <v>343150.13</v>
      </c>
      <c r="F42" s="24">
        <f t="shared" si="0"/>
        <v>3.9435010109017633E-3</v>
      </c>
    </row>
    <row r="43" spans="1:6" x14ac:dyDescent="0.3">
      <c r="A43" s="30" t="s">
        <v>101</v>
      </c>
      <c r="B43" s="23">
        <v>337500</v>
      </c>
      <c r="C43" s="23"/>
      <c r="D43" s="23"/>
      <c r="E43" s="23">
        <v>337500</v>
      </c>
      <c r="F43" s="24">
        <f t="shared" si="0"/>
        <v>3.8785693922929448E-3</v>
      </c>
    </row>
    <row r="44" spans="1:6" x14ac:dyDescent="0.3">
      <c r="A44" s="30" t="s">
        <v>102</v>
      </c>
      <c r="B44" s="23">
        <v>78840</v>
      </c>
      <c r="C44" s="23">
        <v>148190</v>
      </c>
      <c r="D44" s="23">
        <v>74244.800000000003</v>
      </c>
      <c r="E44" s="23">
        <v>301274.8</v>
      </c>
      <c r="F44" s="24">
        <f t="shared" si="0"/>
        <v>3.4622673124420104E-3</v>
      </c>
    </row>
    <row r="45" spans="1:6" x14ac:dyDescent="0.3">
      <c r="A45" s="30" t="s">
        <v>103</v>
      </c>
      <c r="B45" s="23">
        <v>82320</v>
      </c>
      <c r="C45" s="23">
        <v>59143.199999999997</v>
      </c>
      <c r="D45" s="23">
        <v>105894.6</v>
      </c>
      <c r="E45" s="23">
        <v>247357.80000000002</v>
      </c>
      <c r="F45" s="24">
        <f t="shared" si="0"/>
        <v>2.8426500504442069E-3</v>
      </c>
    </row>
    <row r="46" spans="1:6" x14ac:dyDescent="0.3">
      <c r="A46" s="30" t="s">
        <v>104</v>
      </c>
      <c r="B46" s="23"/>
      <c r="C46" s="23"/>
      <c r="D46" s="23">
        <v>227500</v>
      </c>
      <c r="E46" s="23">
        <v>227500</v>
      </c>
      <c r="F46" s="24">
        <f t="shared" si="0"/>
        <v>2.614443071841911E-3</v>
      </c>
    </row>
    <row r="47" spans="1:6" x14ac:dyDescent="0.3">
      <c r="A47" s="30" t="s">
        <v>105</v>
      </c>
      <c r="B47" s="23">
        <v>86494.3</v>
      </c>
      <c r="C47" s="23">
        <v>43791</v>
      </c>
      <c r="D47" s="23">
        <v>94913.600000000006</v>
      </c>
      <c r="E47" s="23">
        <v>225198.90000000002</v>
      </c>
      <c r="F47" s="24">
        <f t="shared" si="0"/>
        <v>2.5879986984238216E-3</v>
      </c>
    </row>
    <row r="48" spans="1:6" x14ac:dyDescent="0.3">
      <c r="A48" s="30" t="s">
        <v>106</v>
      </c>
      <c r="B48" s="23">
        <v>211486.6</v>
      </c>
      <c r="C48" s="23">
        <v>9200</v>
      </c>
      <c r="D48" s="23"/>
      <c r="E48" s="23">
        <v>220686.6</v>
      </c>
      <c r="F48" s="24">
        <f t="shared" si="0"/>
        <v>2.5361430875531742E-3</v>
      </c>
    </row>
    <row r="49" spans="1:6" x14ac:dyDescent="0.3">
      <c r="A49" s="30" t="s">
        <v>107</v>
      </c>
      <c r="B49" s="23">
        <v>67138</v>
      </c>
      <c r="C49" s="23">
        <v>153395</v>
      </c>
      <c r="D49" s="23"/>
      <c r="E49" s="23">
        <v>220533</v>
      </c>
      <c r="F49" s="24">
        <f t="shared" si="0"/>
        <v>2.5343779075275258E-3</v>
      </c>
    </row>
    <row r="50" spans="1:6" x14ac:dyDescent="0.3">
      <c r="A50" s="30" t="s">
        <v>108</v>
      </c>
      <c r="B50" s="23"/>
      <c r="C50" s="23">
        <v>215485</v>
      </c>
      <c r="D50" s="23"/>
      <c r="E50" s="23">
        <v>215485</v>
      </c>
      <c r="F50" s="24">
        <f t="shared" si="0"/>
        <v>2.476366001476282E-3</v>
      </c>
    </row>
    <row r="51" spans="1:6" x14ac:dyDescent="0.3">
      <c r="A51" s="30" t="s">
        <v>109</v>
      </c>
      <c r="B51" s="23"/>
      <c r="C51" s="23">
        <v>62400</v>
      </c>
      <c r="D51" s="23">
        <v>150669.5</v>
      </c>
      <c r="E51" s="23">
        <v>213069.5</v>
      </c>
      <c r="F51" s="24">
        <f t="shared" si="0"/>
        <v>2.4486069366849231E-3</v>
      </c>
    </row>
    <row r="52" spans="1:6" x14ac:dyDescent="0.3">
      <c r="A52" s="30" t="s">
        <v>110</v>
      </c>
      <c r="B52" s="23">
        <v>89750</v>
      </c>
      <c r="C52" s="23">
        <v>38550</v>
      </c>
      <c r="D52" s="23">
        <v>71350</v>
      </c>
      <c r="E52" s="23">
        <v>199650</v>
      </c>
      <c r="F52" s="24">
        <f t="shared" si="0"/>
        <v>2.2943892716186264E-3</v>
      </c>
    </row>
    <row r="53" spans="1:6" x14ac:dyDescent="0.3">
      <c r="A53" s="30" t="s">
        <v>111</v>
      </c>
      <c r="B53" s="23"/>
      <c r="C53" s="23"/>
      <c r="D53" s="23">
        <v>197270</v>
      </c>
      <c r="E53" s="23">
        <v>197270</v>
      </c>
      <c r="F53" s="24">
        <f t="shared" si="0"/>
        <v>2.2670381748670495E-3</v>
      </c>
    </row>
    <row r="54" spans="1:6" x14ac:dyDescent="0.3">
      <c r="A54" s="30" t="s">
        <v>112</v>
      </c>
      <c r="B54" s="23"/>
      <c r="C54" s="23"/>
      <c r="D54" s="23">
        <v>189136.6</v>
      </c>
      <c r="E54" s="23">
        <v>189136.6</v>
      </c>
      <c r="F54" s="24">
        <f t="shared" si="0"/>
        <v>2.1735686747329E-3</v>
      </c>
    </row>
    <row r="55" spans="1:6" x14ac:dyDescent="0.3">
      <c r="A55" s="30" t="s">
        <v>113</v>
      </c>
      <c r="B55" s="23"/>
      <c r="C55" s="23">
        <v>108000</v>
      </c>
      <c r="D55" s="23">
        <v>79219.28</v>
      </c>
      <c r="E55" s="23">
        <v>187219.28</v>
      </c>
      <c r="F55" s="24">
        <f t="shared" si="0"/>
        <v>2.1515347231262894E-3</v>
      </c>
    </row>
    <row r="56" spans="1:6" x14ac:dyDescent="0.3">
      <c r="A56" s="30" t="s">
        <v>114</v>
      </c>
      <c r="B56" s="23">
        <v>44016</v>
      </c>
      <c r="C56" s="23">
        <v>44016</v>
      </c>
      <c r="D56" s="23">
        <v>94673.4</v>
      </c>
      <c r="E56" s="23">
        <v>182705.4</v>
      </c>
      <c r="F56" s="24">
        <f t="shared" si="0"/>
        <v>2.0996609548048573E-3</v>
      </c>
    </row>
    <row r="57" spans="1:6" x14ac:dyDescent="0.3">
      <c r="A57" s="30" t="s">
        <v>115</v>
      </c>
      <c r="B57" s="23"/>
      <c r="C57" s="23">
        <v>85312.5</v>
      </c>
      <c r="D57" s="23">
        <v>85512.5</v>
      </c>
      <c r="E57" s="23">
        <v>170825</v>
      </c>
      <c r="F57" s="24">
        <f t="shared" si="0"/>
        <v>1.9631307153731622E-3</v>
      </c>
    </row>
    <row r="58" spans="1:6" x14ac:dyDescent="0.3">
      <c r="A58" s="30" t="s">
        <v>116</v>
      </c>
      <c r="B58" s="23"/>
      <c r="C58" s="23">
        <v>169218.28</v>
      </c>
      <c r="D58" s="23"/>
      <c r="E58" s="23">
        <v>169218.28</v>
      </c>
      <c r="F58" s="24">
        <f t="shared" si="0"/>
        <v>1.9446661968132071E-3</v>
      </c>
    </row>
    <row r="59" spans="1:6" x14ac:dyDescent="0.3">
      <c r="A59" s="30" t="s">
        <v>117</v>
      </c>
      <c r="B59" s="23">
        <v>43390.399999999994</v>
      </c>
      <c r="C59" s="23"/>
      <c r="D59" s="23">
        <v>122659.38</v>
      </c>
      <c r="E59" s="23">
        <v>166049.78</v>
      </c>
      <c r="F59" s="24">
        <f t="shared" si="0"/>
        <v>1.908253612755488E-3</v>
      </c>
    </row>
    <row r="60" spans="1:6" x14ac:dyDescent="0.3">
      <c r="A60" s="30" t="s">
        <v>118</v>
      </c>
      <c r="B60" s="23"/>
      <c r="C60" s="23"/>
      <c r="D60" s="23">
        <v>165324.79999999999</v>
      </c>
      <c r="E60" s="23">
        <v>165324.79999999999</v>
      </c>
      <c r="F60" s="24">
        <f t="shared" si="0"/>
        <v>1.8999221009391189E-3</v>
      </c>
    </row>
    <row r="61" spans="1:6" x14ac:dyDescent="0.3">
      <c r="A61" s="30" t="s">
        <v>119</v>
      </c>
      <c r="B61" s="23"/>
      <c r="C61" s="23"/>
      <c r="D61" s="23">
        <v>148624</v>
      </c>
      <c r="E61" s="23">
        <v>148624</v>
      </c>
      <c r="F61" s="24">
        <f t="shared" si="0"/>
        <v>1.7079955477337678E-3</v>
      </c>
    </row>
    <row r="62" spans="1:6" x14ac:dyDescent="0.3">
      <c r="A62" s="30" t="s">
        <v>120</v>
      </c>
      <c r="B62" s="23"/>
      <c r="C62" s="23">
        <v>55816.5</v>
      </c>
      <c r="D62" s="23">
        <v>77791.900000000009</v>
      </c>
      <c r="E62" s="23">
        <v>133608.40000000002</v>
      </c>
      <c r="F62" s="24">
        <f t="shared" si="0"/>
        <v>1.5354354097577268E-3</v>
      </c>
    </row>
    <row r="63" spans="1:6" x14ac:dyDescent="0.3">
      <c r="A63" s="30" t="s">
        <v>121</v>
      </c>
      <c r="B63" s="23">
        <v>46933.2</v>
      </c>
      <c r="C63" s="23">
        <v>30979.800000000003</v>
      </c>
      <c r="D63" s="23">
        <v>46861.51</v>
      </c>
      <c r="E63" s="23">
        <v>124774.51000000001</v>
      </c>
      <c r="F63" s="24">
        <f t="shared" si="0"/>
        <v>1.4339158382943704E-3</v>
      </c>
    </row>
    <row r="64" spans="1:6" x14ac:dyDescent="0.3">
      <c r="A64" s="30" t="s">
        <v>122</v>
      </c>
      <c r="B64" s="23">
        <v>121000</v>
      </c>
      <c r="C64" s="23"/>
      <c r="D64" s="23"/>
      <c r="E64" s="23">
        <v>121000</v>
      </c>
      <c r="F64" s="24">
        <f t="shared" si="0"/>
        <v>1.3905389524961373E-3</v>
      </c>
    </row>
    <row r="65" spans="1:6" x14ac:dyDescent="0.3">
      <c r="A65" s="30" t="s">
        <v>123</v>
      </c>
      <c r="B65" s="23">
        <v>85063.2</v>
      </c>
      <c r="C65" s="23"/>
      <c r="D65" s="23">
        <v>34500</v>
      </c>
      <c r="E65" s="23">
        <v>119563.2</v>
      </c>
      <c r="F65" s="24">
        <f t="shared" si="0"/>
        <v>1.3740271643395551E-3</v>
      </c>
    </row>
    <row r="66" spans="1:6" x14ac:dyDescent="0.3">
      <c r="A66" s="30" t="s">
        <v>124</v>
      </c>
      <c r="B66" s="23">
        <v>105000</v>
      </c>
      <c r="C66" s="23"/>
      <c r="D66" s="23"/>
      <c r="E66" s="23">
        <v>105000</v>
      </c>
      <c r="F66" s="24">
        <f t="shared" si="0"/>
        <v>1.206666033157805E-3</v>
      </c>
    </row>
    <row r="67" spans="1:6" x14ac:dyDescent="0.3">
      <c r="A67" s="30" t="s">
        <v>125</v>
      </c>
      <c r="B67" s="23"/>
      <c r="C67" s="23"/>
      <c r="D67" s="23">
        <v>98037.950000000012</v>
      </c>
      <c r="E67" s="23">
        <v>98037.950000000012</v>
      </c>
      <c r="F67" s="24">
        <f t="shared" ref="F67:F102" si="1">E67/E$103</f>
        <v>1.1266577545278405E-3</v>
      </c>
    </row>
    <row r="68" spans="1:6" x14ac:dyDescent="0.3">
      <c r="A68" s="30" t="s">
        <v>126</v>
      </c>
      <c r="B68" s="23">
        <v>53499.839999999997</v>
      </c>
      <c r="C68" s="23">
        <v>33118.240000000005</v>
      </c>
      <c r="D68" s="23"/>
      <c r="E68" s="23">
        <v>86618.08</v>
      </c>
      <c r="F68" s="24">
        <f t="shared" si="1"/>
        <v>9.9541995231757527E-4</v>
      </c>
    </row>
    <row r="69" spans="1:6" x14ac:dyDescent="0.3">
      <c r="A69" s="30" t="s">
        <v>127</v>
      </c>
      <c r="B69" s="23">
        <v>21168</v>
      </c>
      <c r="C69" s="23">
        <v>65448</v>
      </c>
      <c r="D69" s="23"/>
      <c r="E69" s="23">
        <v>86616</v>
      </c>
      <c r="F69" s="24">
        <f t="shared" si="1"/>
        <v>9.9539604883806137E-4</v>
      </c>
    </row>
    <row r="70" spans="1:6" x14ac:dyDescent="0.3">
      <c r="A70" s="30" t="s">
        <v>128</v>
      </c>
      <c r="B70" s="23"/>
      <c r="C70" s="23">
        <v>84244.64</v>
      </c>
      <c r="D70" s="23"/>
      <c r="E70" s="23">
        <v>84244.64</v>
      </c>
      <c r="F70" s="24">
        <f t="shared" si="1"/>
        <v>9.6814424346292711E-4</v>
      </c>
    </row>
    <row r="71" spans="1:6" x14ac:dyDescent="0.3">
      <c r="A71" s="30" t="s">
        <v>129</v>
      </c>
      <c r="B71" s="23">
        <v>77405</v>
      </c>
      <c r="C71" s="23"/>
      <c r="D71" s="23"/>
      <c r="E71" s="23">
        <v>77405</v>
      </c>
      <c r="F71" s="24">
        <f t="shared" si="1"/>
        <v>8.895427075864752E-4</v>
      </c>
    </row>
    <row r="72" spans="1:6" x14ac:dyDescent="0.3">
      <c r="A72" s="30" t="s">
        <v>130</v>
      </c>
      <c r="B72" s="23">
        <v>25000</v>
      </c>
      <c r="C72" s="23">
        <v>37500</v>
      </c>
      <c r="D72" s="23">
        <v>12500</v>
      </c>
      <c r="E72" s="23">
        <v>75000</v>
      </c>
      <c r="F72" s="24">
        <f t="shared" si="1"/>
        <v>8.6190430939843215E-4</v>
      </c>
    </row>
    <row r="73" spans="1:6" x14ac:dyDescent="0.3">
      <c r="A73" s="30" t="s">
        <v>131</v>
      </c>
      <c r="B73" s="23"/>
      <c r="C73" s="23"/>
      <c r="D73" s="23">
        <v>73908</v>
      </c>
      <c r="E73" s="23">
        <v>73908</v>
      </c>
      <c r="F73" s="24">
        <f t="shared" si="1"/>
        <v>8.4935498265359096E-4</v>
      </c>
    </row>
    <row r="74" spans="1:6" x14ac:dyDescent="0.3">
      <c r="A74" s="30" t="s">
        <v>132</v>
      </c>
      <c r="B74" s="23">
        <v>36601.339999999997</v>
      </c>
      <c r="C74" s="23">
        <v>36601.339999999997</v>
      </c>
      <c r="D74" s="23"/>
      <c r="E74" s="23">
        <v>73202.679999999993</v>
      </c>
      <c r="F74" s="24">
        <f t="shared" si="1"/>
        <v>8.4124940468685886E-4</v>
      </c>
    </row>
    <row r="75" spans="1:6" x14ac:dyDescent="0.3">
      <c r="A75" s="30" t="s">
        <v>133</v>
      </c>
      <c r="B75" s="23">
        <v>69437.5</v>
      </c>
      <c r="C75" s="23"/>
      <c r="D75" s="23"/>
      <c r="E75" s="23">
        <v>69437.5</v>
      </c>
      <c r="F75" s="24">
        <f t="shared" si="1"/>
        <v>7.9797973978471513E-4</v>
      </c>
    </row>
    <row r="76" spans="1:6" x14ac:dyDescent="0.3">
      <c r="A76" s="30" t="s">
        <v>134</v>
      </c>
      <c r="B76" s="23"/>
      <c r="C76" s="23">
        <v>69437.5</v>
      </c>
      <c r="D76" s="23"/>
      <c r="E76" s="23">
        <v>69437.5</v>
      </c>
      <c r="F76" s="24">
        <f t="shared" si="1"/>
        <v>7.9797973978471513E-4</v>
      </c>
    </row>
    <row r="77" spans="1:6" x14ac:dyDescent="0.3">
      <c r="A77" s="30" t="s">
        <v>135</v>
      </c>
      <c r="B77" s="23">
        <v>64635.7</v>
      </c>
      <c r="C77" s="23"/>
      <c r="D77" s="23"/>
      <c r="E77" s="23">
        <v>64635.7</v>
      </c>
      <c r="F77" s="24">
        <f t="shared" si="1"/>
        <v>7.4279717827978992E-4</v>
      </c>
    </row>
    <row r="78" spans="1:6" x14ac:dyDescent="0.3">
      <c r="A78" s="30" t="s">
        <v>136</v>
      </c>
      <c r="B78" s="23"/>
      <c r="C78" s="23">
        <v>11900</v>
      </c>
      <c r="D78" s="23">
        <v>42058.85</v>
      </c>
      <c r="E78" s="23">
        <v>53958.85</v>
      </c>
      <c r="F78" s="24">
        <f t="shared" si="1"/>
        <v>6.2009820460244786E-4</v>
      </c>
    </row>
    <row r="79" spans="1:6" x14ac:dyDescent="0.3">
      <c r="A79" s="30" t="s">
        <v>137</v>
      </c>
      <c r="B79" s="23">
        <v>17336</v>
      </c>
      <c r="C79" s="23">
        <v>30526.7</v>
      </c>
      <c r="D79" s="23"/>
      <c r="E79" s="23">
        <v>47862.7</v>
      </c>
      <c r="F79" s="24">
        <f t="shared" si="1"/>
        <v>5.5004089852592447E-4</v>
      </c>
    </row>
    <row r="80" spans="1:6" x14ac:dyDescent="0.3">
      <c r="A80" s="30" t="s">
        <v>138</v>
      </c>
      <c r="B80" s="23"/>
      <c r="C80" s="23">
        <v>45750</v>
      </c>
      <c r="D80" s="23"/>
      <c r="E80" s="23">
        <v>45750</v>
      </c>
      <c r="F80" s="24">
        <f t="shared" si="1"/>
        <v>5.2576162873304362E-4</v>
      </c>
    </row>
    <row r="81" spans="1:6" x14ac:dyDescent="0.3">
      <c r="A81" s="30" t="s">
        <v>139</v>
      </c>
      <c r="B81" s="23"/>
      <c r="C81" s="23">
        <v>43663.58</v>
      </c>
      <c r="D81" s="23"/>
      <c r="E81" s="23">
        <v>43663.58</v>
      </c>
      <c r="F81" s="24">
        <f t="shared" si="1"/>
        <v>5.0178437021017601E-4</v>
      </c>
    </row>
    <row r="82" spans="1:6" x14ac:dyDescent="0.3">
      <c r="A82" s="30" t="s">
        <v>140</v>
      </c>
      <c r="B82" s="23"/>
      <c r="C82" s="23"/>
      <c r="D82" s="23">
        <v>42420</v>
      </c>
      <c r="E82" s="23">
        <v>42420</v>
      </c>
      <c r="F82" s="24">
        <f t="shared" si="1"/>
        <v>4.8749307739575325E-4</v>
      </c>
    </row>
    <row r="83" spans="1:6" x14ac:dyDescent="0.3">
      <c r="A83" s="30" t="s">
        <v>141</v>
      </c>
      <c r="B83" s="23"/>
      <c r="C83" s="23"/>
      <c r="D83" s="23">
        <v>37113.259999999995</v>
      </c>
      <c r="E83" s="23">
        <v>37113.259999999995</v>
      </c>
      <c r="F83" s="24">
        <f t="shared" si="1"/>
        <v>4.2650771639765936E-4</v>
      </c>
    </row>
    <row r="84" spans="1:6" x14ac:dyDescent="0.3">
      <c r="A84" s="30" t="s">
        <v>142</v>
      </c>
      <c r="B84" s="23">
        <v>35148</v>
      </c>
      <c r="C84" s="23"/>
      <c r="D84" s="23"/>
      <c r="E84" s="23">
        <v>35148</v>
      </c>
      <c r="F84" s="24">
        <f t="shared" si="1"/>
        <v>4.0392283555648124E-4</v>
      </c>
    </row>
    <row r="85" spans="1:6" x14ac:dyDescent="0.3">
      <c r="A85" s="30" t="s">
        <v>143</v>
      </c>
      <c r="B85" s="23"/>
      <c r="C85" s="23">
        <v>34300</v>
      </c>
      <c r="D85" s="23"/>
      <c r="E85" s="23">
        <v>34300</v>
      </c>
      <c r="F85" s="24">
        <f t="shared" si="1"/>
        <v>3.9417757083154968E-4</v>
      </c>
    </row>
    <row r="86" spans="1:6" x14ac:dyDescent="0.3">
      <c r="A86" s="30" t="s">
        <v>144</v>
      </c>
      <c r="B86" s="23">
        <v>33600</v>
      </c>
      <c r="C86" s="23"/>
      <c r="D86" s="23"/>
      <c r="E86" s="23">
        <v>33600</v>
      </c>
      <c r="F86" s="24">
        <f t="shared" si="1"/>
        <v>3.8613313061049761E-4</v>
      </c>
    </row>
    <row r="87" spans="1:6" x14ac:dyDescent="0.3">
      <c r="A87" s="30" t="s">
        <v>145</v>
      </c>
      <c r="B87" s="23">
        <v>32865</v>
      </c>
      <c r="C87" s="23"/>
      <c r="D87" s="23"/>
      <c r="E87" s="23">
        <v>32865</v>
      </c>
      <c r="F87" s="24">
        <f t="shared" si="1"/>
        <v>3.77686468378393E-4</v>
      </c>
    </row>
    <row r="88" spans="1:6" x14ac:dyDescent="0.3">
      <c r="A88" s="30" t="s">
        <v>146</v>
      </c>
      <c r="B88" s="23">
        <v>30930</v>
      </c>
      <c r="C88" s="23"/>
      <c r="D88" s="23"/>
      <c r="E88" s="23">
        <v>30930</v>
      </c>
      <c r="F88" s="24">
        <f t="shared" si="1"/>
        <v>3.5544933719591342E-4</v>
      </c>
    </row>
    <row r="89" spans="1:6" x14ac:dyDescent="0.3">
      <c r="A89" s="30" t="s">
        <v>147</v>
      </c>
      <c r="B89" s="23"/>
      <c r="C89" s="23"/>
      <c r="D89" s="23">
        <v>29724.799999999999</v>
      </c>
      <c r="E89" s="23">
        <v>29724.799999999999</v>
      </c>
      <c r="F89" s="24">
        <f t="shared" si="1"/>
        <v>3.4159910954675355E-4</v>
      </c>
    </row>
    <row r="90" spans="1:6" x14ac:dyDescent="0.3">
      <c r="A90" s="30" t="s">
        <v>148</v>
      </c>
      <c r="B90" s="23">
        <v>29651.45</v>
      </c>
      <c r="C90" s="23"/>
      <c r="D90" s="23"/>
      <c r="E90" s="23">
        <v>29651.45</v>
      </c>
      <c r="F90" s="24">
        <f t="shared" si="1"/>
        <v>3.407561671321619E-4</v>
      </c>
    </row>
    <row r="91" spans="1:6" x14ac:dyDescent="0.3">
      <c r="A91" s="30" t="s">
        <v>149</v>
      </c>
      <c r="B91" s="23"/>
      <c r="C91" s="23">
        <v>29250.5</v>
      </c>
      <c r="D91" s="23"/>
      <c r="E91" s="23">
        <v>29250.5</v>
      </c>
      <c r="F91" s="24">
        <f t="shared" si="1"/>
        <v>3.361484266941179E-4</v>
      </c>
    </row>
    <row r="92" spans="1:6" x14ac:dyDescent="0.3">
      <c r="A92" s="30" t="s">
        <v>150</v>
      </c>
      <c r="B92" s="23">
        <v>18750</v>
      </c>
      <c r="C92" s="23">
        <v>9200</v>
      </c>
      <c r="D92" s="23"/>
      <c r="E92" s="23">
        <v>27950</v>
      </c>
      <c r="F92" s="24">
        <f t="shared" si="1"/>
        <v>3.2120300596914905E-4</v>
      </c>
    </row>
    <row r="93" spans="1:6" x14ac:dyDescent="0.3">
      <c r="A93" s="30" t="s">
        <v>151</v>
      </c>
      <c r="B93" s="23"/>
      <c r="C93" s="23"/>
      <c r="D93" s="23">
        <v>25000</v>
      </c>
      <c r="E93" s="23">
        <v>25000</v>
      </c>
      <c r="F93" s="24">
        <f t="shared" si="1"/>
        <v>2.8730143646614405E-4</v>
      </c>
    </row>
    <row r="94" spans="1:6" x14ac:dyDescent="0.3">
      <c r="A94" s="30" t="s">
        <v>152</v>
      </c>
      <c r="B94" s="23"/>
      <c r="C94" s="23">
        <v>13208</v>
      </c>
      <c r="D94" s="23"/>
      <c r="E94" s="23">
        <v>13208</v>
      </c>
      <c r="F94" s="24">
        <f t="shared" si="1"/>
        <v>1.5178709491379323E-4</v>
      </c>
    </row>
    <row r="95" spans="1:6" x14ac:dyDescent="0.3">
      <c r="A95" s="30" t="s">
        <v>153</v>
      </c>
      <c r="B95" s="23">
        <v>12540</v>
      </c>
      <c r="C95" s="23"/>
      <c r="D95" s="23"/>
      <c r="E95" s="23">
        <v>12540</v>
      </c>
      <c r="F95" s="24">
        <f t="shared" si="1"/>
        <v>1.4411040053141785E-4</v>
      </c>
    </row>
    <row r="96" spans="1:6" x14ac:dyDescent="0.3">
      <c r="A96" s="30" t="s">
        <v>154</v>
      </c>
      <c r="B96" s="23"/>
      <c r="C96" s="23"/>
      <c r="D96" s="23">
        <v>11188.8</v>
      </c>
      <c r="E96" s="23">
        <v>11188.8</v>
      </c>
      <c r="F96" s="24">
        <f t="shared" si="1"/>
        <v>1.285823324932957E-4</v>
      </c>
    </row>
    <row r="97" spans="1:6" x14ac:dyDescent="0.3">
      <c r="A97" s="30" t="s">
        <v>155</v>
      </c>
      <c r="B97" s="23"/>
      <c r="C97" s="23">
        <v>9537</v>
      </c>
      <c r="D97" s="23"/>
      <c r="E97" s="23">
        <v>9537</v>
      </c>
      <c r="F97" s="24">
        <f t="shared" si="1"/>
        <v>1.0959975198310463E-4</v>
      </c>
    </row>
    <row r="98" spans="1:6" x14ac:dyDescent="0.3">
      <c r="A98" s="30" t="s">
        <v>156</v>
      </c>
      <c r="B98" s="23"/>
      <c r="C98" s="23"/>
      <c r="D98" s="23">
        <v>7944.86</v>
      </c>
      <c r="E98" s="23">
        <v>7944.86</v>
      </c>
      <c r="F98" s="24">
        <f t="shared" si="1"/>
        <v>9.1302787620896374E-5</v>
      </c>
    </row>
    <row r="99" spans="1:6" x14ac:dyDescent="0.3">
      <c r="A99" s="30" t="s">
        <v>157</v>
      </c>
      <c r="B99" s="23"/>
      <c r="C99" s="23"/>
      <c r="D99" s="23">
        <v>4450</v>
      </c>
      <c r="E99" s="23">
        <v>4450</v>
      </c>
      <c r="F99" s="24">
        <f t="shared" si="1"/>
        <v>5.1139655690973643E-5</v>
      </c>
    </row>
    <row r="100" spans="1:6" x14ac:dyDescent="0.3">
      <c r="A100" s="30" t="s">
        <v>158</v>
      </c>
      <c r="B100" s="23"/>
      <c r="C100" s="23"/>
      <c r="D100" s="23">
        <v>4240.8</v>
      </c>
      <c r="E100" s="23">
        <v>4240.8</v>
      </c>
      <c r="F100" s="24">
        <f t="shared" si="1"/>
        <v>4.8735517270624954E-5</v>
      </c>
    </row>
    <row r="101" spans="1:6" x14ac:dyDescent="0.3">
      <c r="A101" s="30" t="s">
        <v>159</v>
      </c>
      <c r="B101" s="23"/>
      <c r="C101" s="23"/>
      <c r="D101" s="23">
        <v>2600</v>
      </c>
      <c r="E101" s="23">
        <v>2600</v>
      </c>
      <c r="F101" s="24">
        <f t="shared" si="1"/>
        <v>2.9879349392478982E-5</v>
      </c>
    </row>
    <row r="102" spans="1:6" x14ac:dyDescent="0.3">
      <c r="A102" s="30" t="s">
        <v>160</v>
      </c>
      <c r="B102" s="23"/>
      <c r="C102" s="23"/>
      <c r="D102" s="23">
        <v>2531.52</v>
      </c>
      <c r="E102" s="23">
        <v>2531.52</v>
      </c>
      <c r="F102" s="24">
        <f t="shared" si="1"/>
        <v>2.9092373297710921E-5</v>
      </c>
    </row>
    <row r="103" spans="1:6" x14ac:dyDescent="0.3">
      <c r="A103" s="31" t="s">
        <v>59</v>
      </c>
      <c r="B103" s="25">
        <f>SUM(B3:B102)</f>
        <v>29312859.739999995</v>
      </c>
      <c r="C103" s="25">
        <f>SUM(C3:C102)</f>
        <v>29906908.50999999</v>
      </c>
      <c r="D103" s="25">
        <f>SUM(D3:D102)</f>
        <v>27796852.02</v>
      </c>
      <c r="E103" s="25">
        <f>SUM(E3:E102)</f>
        <v>87016620.270000041</v>
      </c>
      <c r="F103" s="26"/>
    </row>
    <row r="104" spans="1:6" s="29" customFormat="1" ht="9.6" customHeight="1" x14ac:dyDescent="0.3">
      <c r="A104" s="27"/>
      <c r="B104" s="28"/>
      <c r="C104" s="28"/>
      <c r="D104" s="28"/>
      <c r="E104" s="28"/>
    </row>
    <row r="105" spans="1:6" s="29" customFormat="1" ht="12.6" customHeight="1" x14ac:dyDescent="0.3">
      <c r="A105" s="27"/>
      <c r="B105" s="28"/>
      <c r="C105" s="28"/>
      <c r="D105" s="28"/>
      <c r="E105" s="28"/>
    </row>
    <row r="106" spans="1:6" ht="18.45" customHeight="1" x14ac:dyDescent="0.3">
      <c r="A106" s="15" t="s">
        <v>5</v>
      </c>
      <c r="B106" s="16">
        <v>60</v>
      </c>
      <c r="C106" s="16">
        <v>63</v>
      </c>
      <c r="D106" s="16">
        <v>67</v>
      </c>
      <c r="E106" s="17">
        <v>100</v>
      </c>
      <c r="F106" s="5"/>
    </row>
    <row r="107" spans="1:6" ht="18.45" customHeight="1" x14ac:dyDescent="0.3">
      <c r="A107" s="15" t="s">
        <v>48</v>
      </c>
      <c r="B107" s="16">
        <v>92</v>
      </c>
      <c r="C107" s="16">
        <v>100</v>
      </c>
      <c r="D107" s="16"/>
      <c r="E107" s="16"/>
      <c r="F107" s="5"/>
    </row>
    <row r="108" spans="1:6" x14ac:dyDescent="0.3">
      <c r="A108" s="15" t="s">
        <v>46</v>
      </c>
      <c r="B108" s="16"/>
      <c r="C108" s="16"/>
      <c r="D108" s="16"/>
      <c r="E108" s="17">
        <v>35</v>
      </c>
    </row>
    <row r="109" spans="1:6" x14ac:dyDescent="0.3">
      <c r="A109" s="15" t="s">
        <v>47</v>
      </c>
      <c r="B109" s="16"/>
      <c r="C109" s="16"/>
      <c r="D109" s="16"/>
      <c r="E109" s="17">
        <v>6199618.0700000003</v>
      </c>
    </row>
  </sheetData>
  <mergeCells count="1">
    <mergeCell ref="A1:F1"/>
  </mergeCells>
  <pageMargins left="0.7" right="0.7" top="0.75" bottom="0.75" header="0.3" footer="0.3"/>
  <pageSetup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activeCell="A4" sqref="A4"/>
    </sheetView>
  </sheetViews>
  <sheetFormatPr defaultRowHeight="14.4" x14ac:dyDescent="0.3"/>
  <cols>
    <col min="1" max="10" width="20" customWidth="1"/>
  </cols>
  <sheetData>
    <row r="1" spans="1:10" ht="21" x14ac:dyDescent="0.4">
      <c r="A1" s="36" t="s">
        <v>7</v>
      </c>
      <c r="B1" s="37"/>
      <c r="C1" s="37"/>
      <c r="D1" s="37"/>
      <c r="E1" s="37"/>
      <c r="F1" s="37"/>
      <c r="G1" s="37"/>
      <c r="H1" s="37"/>
      <c r="I1" s="37"/>
      <c r="J1" s="37"/>
    </row>
    <row r="3" spans="1:10" x14ac:dyDescent="0.3">
      <c r="A3" s="1" t="s">
        <v>8</v>
      </c>
      <c r="B3" s="1" t="s">
        <v>14</v>
      </c>
      <c r="C3" s="1" t="s">
        <v>15</v>
      </c>
      <c r="D3" s="1"/>
      <c r="E3" s="1" t="s">
        <v>16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</row>
    <row r="4" spans="1:10" x14ac:dyDescent="0.3">
      <c r="A4" s="2" t="s">
        <v>17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">
      <c r="A5" s="2" t="s">
        <v>18</v>
      </c>
      <c r="B5" s="2"/>
      <c r="C5" s="2"/>
      <c r="D5" s="2"/>
      <c r="E5" s="2"/>
      <c r="F5" s="2"/>
      <c r="G5" s="2"/>
      <c r="H5" s="2"/>
      <c r="I5" s="2"/>
      <c r="J5" s="2"/>
    </row>
    <row r="6" spans="1:10" x14ac:dyDescent="0.3">
      <c r="A6" s="2" t="s">
        <v>19</v>
      </c>
      <c r="B6" s="2"/>
      <c r="C6" s="2"/>
      <c r="D6" s="2"/>
      <c r="E6" s="2"/>
      <c r="F6" s="2"/>
      <c r="G6" s="2"/>
      <c r="H6" s="2"/>
      <c r="I6" s="2"/>
      <c r="J6" s="2"/>
    </row>
    <row r="7" spans="1:10" x14ac:dyDescent="0.3">
      <c r="A7" s="2" t="s">
        <v>20</v>
      </c>
      <c r="B7" s="2"/>
      <c r="C7" s="2"/>
      <c r="D7" s="2"/>
      <c r="E7" s="2"/>
      <c r="F7" s="2"/>
      <c r="G7" s="2"/>
      <c r="H7" s="2"/>
      <c r="I7" s="2"/>
      <c r="J7" s="2"/>
    </row>
    <row r="8" spans="1:10" x14ac:dyDescent="0.3">
      <c r="A8" s="2" t="s">
        <v>21</v>
      </c>
      <c r="B8" s="2"/>
      <c r="C8" s="2"/>
      <c r="D8" s="2"/>
      <c r="E8" s="2"/>
      <c r="F8" s="2"/>
      <c r="G8" s="2"/>
      <c r="H8" s="2"/>
      <c r="I8" s="2"/>
      <c r="J8" s="2"/>
    </row>
    <row r="9" spans="1:10" x14ac:dyDescent="0.3">
      <c r="A9" s="2" t="s">
        <v>22</v>
      </c>
      <c r="B9" s="2"/>
      <c r="C9" s="2"/>
      <c r="D9" s="2"/>
      <c r="E9" s="2"/>
      <c r="F9" s="2"/>
      <c r="G9" s="2"/>
      <c r="H9" s="2"/>
      <c r="I9" s="2"/>
      <c r="J9" s="2"/>
    </row>
    <row r="10" spans="1:10" x14ac:dyDescent="0.3">
      <c r="A10" s="2" t="s">
        <v>24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3">
      <c r="A11" s="2" t="s">
        <v>23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">
      <c r="A12" s="2" t="s">
        <v>25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">
      <c r="A13" s="2" t="s">
        <v>26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">
      <c r="A14" s="2" t="s">
        <v>27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3">
      <c r="A15" s="2" t="s">
        <v>28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">
      <c r="A16" s="4" t="s">
        <v>29</v>
      </c>
    </row>
  </sheetData>
  <mergeCells count="1">
    <mergeCell ref="A1:J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 Summary</vt:lpstr>
      <vt:lpstr>Customerwise Sales</vt:lpstr>
      <vt:lpstr>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meghran</dc:creator>
  <cp:lastModifiedBy>NDPL SALES</cp:lastModifiedBy>
  <cp:lastPrinted>2026-07-13T12:02:07Z</cp:lastPrinted>
  <dcterms:created xsi:type="dcterms:W3CDTF">2026-07-03T03:50:45Z</dcterms:created>
  <dcterms:modified xsi:type="dcterms:W3CDTF">2026-07-14T11:15:42Z</dcterms:modified>
</cp:coreProperties>
</file>