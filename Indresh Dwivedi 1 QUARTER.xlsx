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DPL SALES\OneDrive\Desktop\New folder (3)\indresh dwedi\"/>
    </mc:Choice>
  </mc:AlternateContent>
  <bookViews>
    <workbookView xWindow="0" yWindow="0" windowWidth="23040" windowHeight="7692"/>
  </bookViews>
  <sheets>
    <sheet name="Q1 Summary" sheetId="1" r:id="rId1"/>
    <sheet name="Customerwise Sales" sheetId="4" r:id="rId2"/>
    <sheet name="Planning" sheetId="3" r:id="rId3"/>
  </sheets>
  <definedNames>
    <definedName name="_xlnm._FilterDatabase" localSheetId="1" hidden="1">'Customerwise Sales'!$A$6:$E$42</definedName>
  </definedNames>
  <calcPr calcId="162913"/>
</workbook>
</file>

<file path=xl/calcChain.xml><?xml version="1.0" encoding="utf-8"?>
<calcChain xmlns="http://schemas.openxmlformats.org/spreadsheetml/2006/main">
  <c r="E16" i="1" l="1"/>
  <c r="E13" i="1"/>
  <c r="E12" i="1"/>
  <c r="E11" i="1"/>
  <c r="E10" i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2" i="4"/>
  <c r="E7" i="1"/>
  <c r="E4" i="1" l="1"/>
  <c r="E5" i="1" l="1"/>
  <c r="E6" i="1"/>
</calcChain>
</file>

<file path=xl/sharedStrings.xml><?xml version="1.0" encoding="utf-8"?>
<sst xmlns="http://schemas.openxmlformats.org/spreadsheetml/2006/main" count="85" uniqueCount="84">
  <si>
    <t>Product / Category</t>
  </si>
  <si>
    <t>Total Customers Billed</t>
  </si>
  <si>
    <t>Collection (Rs.)</t>
  </si>
  <si>
    <t>Sales Planning Sheet</t>
  </si>
  <si>
    <t>Product</t>
  </si>
  <si>
    <t>Aug'26</t>
  </si>
  <si>
    <t>Sep'26</t>
  </si>
  <si>
    <t>Q2</t>
  </si>
  <si>
    <t>Q3</t>
  </si>
  <si>
    <t>Q4</t>
  </si>
  <si>
    <t>QTR 1</t>
  </si>
  <si>
    <t xml:space="preserve"> Target</t>
  </si>
  <si>
    <t xml:space="preserve"> Jul'26</t>
  </si>
  <si>
    <t>April fine (Board)</t>
  </si>
  <si>
    <t>April fine (Paper )</t>
  </si>
  <si>
    <t>ART PAPER</t>
  </si>
  <si>
    <t>ARTICA (Board)</t>
  </si>
  <si>
    <t>Artica Intense Black</t>
  </si>
  <si>
    <t>ARTICA (Paper)</t>
  </si>
  <si>
    <t>Century  (Board)</t>
  </si>
  <si>
    <t>Century  (Paper)</t>
  </si>
  <si>
    <t>FLEXBOARD</t>
  </si>
  <si>
    <t>Polyplex</t>
  </si>
  <si>
    <t>Cosmo</t>
  </si>
  <si>
    <t xml:space="preserve">HB Fuller </t>
  </si>
  <si>
    <t xml:space="preserve">Write remaining </t>
  </si>
  <si>
    <t>Total Value Sale (Amount)</t>
  </si>
  <si>
    <t>Overdue %age of total due as on 30th June, 2026</t>
  </si>
  <si>
    <t>New Customer Billed in Numbers</t>
  </si>
  <si>
    <t>New Customer Billed in Value</t>
  </si>
  <si>
    <t>Total Customer Met</t>
  </si>
  <si>
    <t>Average Debtor Days (Avereage Debtor/Net sales*90)</t>
  </si>
  <si>
    <t>Overdue Payment as on 30th June 2026 for more than 15 Days</t>
  </si>
  <si>
    <t>Total Due as on 30th June 2026</t>
  </si>
  <si>
    <t>Apr</t>
  </si>
  <si>
    <t>May</t>
  </si>
  <si>
    <t>Jun</t>
  </si>
  <si>
    <t>Grand Total</t>
  </si>
  <si>
    <t xml:space="preserve">Adhesive </t>
  </si>
  <si>
    <t>Artica</t>
  </si>
  <si>
    <t>Boyer</t>
  </si>
  <si>
    <t>Cpp/ Paper And Board</t>
  </si>
  <si>
    <t>Row Labels</t>
  </si>
  <si>
    <t>Average Debtor (Closing Debtor+Opning Debtor)/2</t>
  </si>
  <si>
    <t>ACME CLEANTECH SOLUTIONS PVT. LTD</t>
  </si>
  <si>
    <t>ARVIND PRINTERS</t>
  </si>
  <si>
    <t>DESICCANTS INDIA LLP</t>
  </si>
  <si>
    <t>ENORMAX LABS PRIVATE LIMITED</t>
  </si>
  <si>
    <t>EXPERTS PROP.NAGAMALLESWARA RAO ATTALURI</t>
  </si>
  <si>
    <t>GOPSONS PAPER LTD (HOLOGRAM DIVISION)</t>
  </si>
  <si>
    <t>GOYAL PRINT WORLD PROP.DINESH PODDAR</t>
  </si>
  <si>
    <t>HERO HOUSING FINANCE LIMITED (SECTOR 4)</t>
  </si>
  <si>
    <t>HM HOME FURNISHING PVT. LTD.</t>
  </si>
  <si>
    <t>INTEGRATED PACKAGING PVT LTD</t>
  </si>
  <si>
    <t>JAIN TRANSFER PRODUCTS</t>
  </si>
  <si>
    <t>JAINYTIC PACKAGING PRIVATE LIMITED</t>
  </si>
  <si>
    <t>JIYANSH ENTERPRIS PROP SUNIL NITINBHAI THAKKAR</t>
  </si>
  <si>
    <t>KISHORE ENTERPRISES PROP.NANDA KISHORE</t>
  </si>
  <si>
    <t>KRAFTMAN PACKAGING PRIVATE LIMITED</t>
  </si>
  <si>
    <t>MAGIC KONNECTIONS SOLUTION LTD</t>
  </si>
  <si>
    <t>MEGA CALIBRE ENTERPRISES PVT.LTD.</t>
  </si>
  <si>
    <t>MONARCH GRAPHICS INDIA PVT.LTD.</t>
  </si>
  <si>
    <t>MOTO GARUDA PROP.MOTO GARUDA LLP</t>
  </si>
  <si>
    <t>MUTHOOT FINCORP LIMITED (TAMIL NADU)</t>
  </si>
  <si>
    <t>NIPUN PROJECTS &amp; FINANCE PRIVATE LIMITED</t>
  </si>
  <si>
    <t>OXY MIST ABSORBERS</t>
  </si>
  <si>
    <t>PERFECT ID INDIA PRIVATE LIMITED</t>
  </si>
  <si>
    <t>PNB HOUSING FINANCE LTD (DELHI)</t>
  </si>
  <si>
    <t>S.ANAND PACKAGING PRIVATE LIMITED</t>
  </si>
  <si>
    <t>SAI BALAJI LABELS &amp; SYSTEMS PROP. VISHNU VARDHAN NAKKA</t>
  </si>
  <si>
    <t>SRI MAHALAKSHMI ENTERPRISES PROP VENKATA MURALI KRISHNA MADDALA</t>
  </si>
  <si>
    <t>STERIMED SURGICAL INDIA PVT LTD</t>
  </si>
  <si>
    <t xml:space="preserve">SUMITOMO CHEMICAL INDIA LIMITED_x000D_
_x000D_
</t>
  </si>
  <si>
    <t>SUPERFORM CHEMISTRIES LIMITED</t>
  </si>
  <si>
    <t>UNIQUE LABELS PROP.SUSHIL JAIN</t>
  </si>
  <si>
    <t>UNIVERSAL IMPEX</t>
  </si>
  <si>
    <t>WEATHERCOVER INDUSTRIALS VIJAYAWADA PROP PADMA PRIYA DARBHA</t>
  </si>
  <si>
    <t>WORLDMAG PROP MEENAKSHI SAINI</t>
  </si>
  <si>
    <t>Indresh Dwivedi Template - Business at a Glance (Quarter 1)</t>
  </si>
  <si>
    <t>Percentage</t>
  </si>
  <si>
    <t>Q1 Total
KG.</t>
  </si>
  <si>
    <t>Jun'26
KG.</t>
  </si>
  <si>
    <t>May'26
KG.</t>
  </si>
  <si>
    <t>Apr'26
KG.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</si>
</sst>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0" xfId="0"/>
    <xf numFmtId="0" fontId="3" fillId="0" borderId="0" xfId="0" applyFont="1"/>
    <xf numFmtId="0" fontId="0" fillId="0" borderId="2" xfId="0" applyBorder="1"/>
    <xf numFmtId="0" fontId="8" fillId="0" borderId="2" xfId="0" applyFont="1" applyBorder="1"/>
    <xf numFmtId="164" fontId="0" fillId="0" borderId="2" xfId="1" applyFont="1" applyBorder="1"/>
    <xf numFmtId="164" fontId="6" fillId="0" borderId="2" xfId="1" applyFont="1" applyBorder="1"/>
    <xf numFmtId="0" fontId="0" fillId="3" borderId="2" xfId="0" applyFill="1" applyBorder="1"/>
    <xf numFmtId="164" fontId="0" fillId="3" borderId="2" xfId="1" applyFont="1" applyFill="1" applyBorder="1"/>
    <xf numFmtId="164" fontId="6" fillId="3" borderId="2" xfId="1" applyFont="1" applyFill="1" applyBorder="1"/>
    <xf numFmtId="10" fontId="6" fillId="3" borderId="2" xfId="2" applyNumberFormat="1" applyFont="1" applyFill="1" applyBorder="1"/>
    <xf numFmtId="0" fontId="0" fillId="0" borderId="0" xfId="0" applyAlignment="1">
      <alignment vertical="center"/>
    </xf>
    <xf numFmtId="0" fontId="0" fillId="0" borderId="0" xfId="0" applyFill="1" applyBorder="1"/>
    <xf numFmtId="0" fontId="0" fillId="0" borderId="0" xfId="0"/>
    <xf numFmtId="0" fontId="0" fillId="0" borderId="0" xfId="0"/>
    <xf numFmtId="0" fontId="6" fillId="4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6" fillId="4" borderId="2" xfId="0" applyFont="1" applyFill="1" applyBorder="1" applyAlignment="1">
      <alignment horizontal="left"/>
    </xf>
    <xf numFmtId="0" fontId="6" fillId="4" borderId="2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10" fontId="0" fillId="0" borderId="2" xfId="2" applyNumberFormat="1" applyFont="1" applyBorder="1"/>
    <xf numFmtId="0" fontId="2" fillId="2" borderId="2" xfId="0" applyFont="1" applyFill="1" applyBorder="1" applyAlignment="1">
      <alignment horizontal="center" vertical="center" wrapText="1"/>
    </xf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A15" sqref="A15"/>
    </sheetView>
  </sheetViews>
  <sheetFormatPr defaultRowHeight="18.45" customHeight="1" x14ac:dyDescent="0.3"/>
  <cols>
    <col min="1" max="1" width="52.5546875" customWidth="1"/>
    <col min="2" max="3" width="14.109375" customWidth="1"/>
    <col min="4" max="4" width="15.109375" bestFit="1" customWidth="1"/>
    <col min="5" max="5" width="15.6640625" customWidth="1"/>
  </cols>
  <sheetData>
    <row r="1" spans="1:5" s="13" customFormat="1" ht="26.4" customHeight="1" x14ac:dyDescent="0.3">
      <c r="A1" s="25" t="s">
        <v>78</v>
      </c>
      <c r="B1" s="26"/>
      <c r="C1" s="26"/>
      <c r="D1" s="26"/>
      <c r="E1" s="26"/>
    </row>
    <row r="2" spans="1:5" ht="10.199999999999999" customHeight="1" x14ac:dyDescent="0.3">
      <c r="A2" s="5"/>
      <c r="B2" s="5"/>
      <c r="C2" s="5"/>
      <c r="D2" s="5"/>
      <c r="E2" s="5"/>
    </row>
    <row r="3" spans="1:5" s="13" customFormat="1" ht="28.8" x14ac:dyDescent="0.3">
      <c r="A3" s="24" t="s">
        <v>0</v>
      </c>
      <c r="B3" s="30" t="s">
        <v>83</v>
      </c>
      <c r="C3" s="30" t="s">
        <v>82</v>
      </c>
      <c r="D3" s="30" t="s">
        <v>81</v>
      </c>
      <c r="E3" s="30" t="s">
        <v>80</v>
      </c>
    </row>
    <row r="4" spans="1:5" s="16" customFormat="1" ht="14.4" x14ac:dyDescent="0.3">
      <c r="A4" s="6" t="s">
        <v>40</v>
      </c>
      <c r="B4" s="7"/>
      <c r="C4" s="7">
        <v>702</v>
      </c>
      <c r="D4" s="7">
        <v>2568</v>
      </c>
      <c r="E4" s="8">
        <f t="shared" ref="E4:E7" si="0">SUM(B4:D4)</f>
        <v>3270</v>
      </c>
    </row>
    <row r="5" spans="1:5" s="3" customFormat="1" ht="18.45" customHeight="1" x14ac:dyDescent="0.3">
      <c r="A5" s="5" t="s">
        <v>41</v>
      </c>
      <c r="B5" s="7">
        <v>14361</v>
      </c>
      <c r="C5" s="7"/>
      <c r="D5" s="7"/>
      <c r="E5" s="8">
        <f t="shared" si="0"/>
        <v>14361</v>
      </c>
    </row>
    <row r="6" spans="1:5" ht="18.45" customHeight="1" x14ac:dyDescent="0.3">
      <c r="A6" s="5" t="s">
        <v>38</v>
      </c>
      <c r="B6" s="7">
        <v>18344</v>
      </c>
      <c r="C6" s="7">
        <v>10123</v>
      </c>
      <c r="D6" s="7">
        <v>19442</v>
      </c>
      <c r="E6" s="8">
        <f t="shared" si="0"/>
        <v>47909</v>
      </c>
    </row>
    <row r="7" spans="1:5" ht="18.45" customHeight="1" x14ac:dyDescent="0.3">
      <c r="A7" s="5" t="s">
        <v>39</v>
      </c>
      <c r="B7" s="19"/>
      <c r="C7" s="19"/>
      <c r="D7" s="19">
        <v>4002</v>
      </c>
      <c r="E7" s="8">
        <f t="shared" si="0"/>
        <v>4002</v>
      </c>
    </row>
    <row r="8" spans="1:5" ht="18.45" customHeight="1" x14ac:dyDescent="0.3">
      <c r="A8" s="5"/>
      <c r="B8" s="7"/>
      <c r="C8" s="7"/>
      <c r="D8" s="7"/>
      <c r="E8" s="7"/>
    </row>
    <row r="9" spans="1:5" ht="18.45" customHeight="1" x14ac:dyDescent="0.3">
      <c r="A9" s="5"/>
      <c r="B9" s="7"/>
      <c r="C9" s="7"/>
      <c r="D9" s="7"/>
      <c r="E9" s="7"/>
    </row>
    <row r="10" spans="1:5" ht="18.45" customHeight="1" x14ac:dyDescent="0.3">
      <c r="A10" s="9" t="s">
        <v>26</v>
      </c>
      <c r="B10" s="10">
        <v>6397829.5</v>
      </c>
      <c r="C10" s="10">
        <v>3419550</v>
      </c>
      <c r="D10" s="10">
        <v>6905838</v>
      </c>
      <c r="E10" s="11">
        <f>B10+C10+D10</f>
        <v>16723217.5</v>
      </c>
    </row>
    <row r="11" spans="1:5" ht="18.45" customHeight="1" x14ac:dyDescent="0.3">
      <c r="A11" s="9" t="s">
        <v>2</v>
      </c>
      <c r="B11" s="10">
        <v>5430959</v>
      </c>
      <c r="C11" s="10">
        <v>4999118</v>
      </c>
      <c r="D11" s="10">
        <v>6912204.0199999996</v>
      </c>
      <c r="E11" s="11">
        <f>SUM(B11:D11)</f>
        <v>17342281.02</v>
      </c>
    </row>
    <row r="12" spans="1:5" s="3" customFormat="1" ht="18.45" customHeight="1" x14ac:dyDescent="0.3">
      <c r="A12" s="9" t="s">
        <v>43</v>
      </c>
      <c r="B12" s="10"/>
      <c r="C12" s="10"/>
      <c r="D12" s="10"/>
      <c r="E12" s="11">
        <f>(8057654+13752436)/2</f>
        <v>10905045</v>
      </c>
    </row>
    <row r="13" spans="1:5" s="3" customFormat="1" ht="18.45" customHeight="1" x14ac:dyDescent="0.3">
      <c r="A13" s="9" t="s">
        <v>31</v>
      </c>
      <c r="B13" s="10"/>
      <c r="C13" s="10"/>
      <c r="D13" s="10"/>
      <c r="E13" s="11">
        <f>E12/E10*90</f>
        <v>58.688111303940168</v>
      </c>
    </row>
    <row r="14" spans="1:5" s="3" customFormat="1" ht="18.45" customHeight="1" x14ac:dyDescent="0.3">
      <c r="A14" s="9" t="s">
        <v>32</v>
      </c>
      <c r="B14" s="10"/>
      <c r="C14" s="10"/>
      <c r="D14" s="10"/>
      <c r="E14" s="11">
        <v>1253084</v>
      </c>
    </row>
    <row r="15" spans="1:5" s="3" customFormat="1" ht="18.45" customHeight="1" x14ac:dyDescent="0.3">
      <c r="A15" s="9" t="s">
        <v>33</v>
      </c>
      <c r="B15" s="10"/>
      <c r="C15" s="10"/>
      <c r="D15" s="10"/>
      <c r="E15" s="11">
        <v>12131479</v>
      </c>
    </row>
    <row r="16" spans="1:5" ht="18.45" customHeight="1" x14ac:dyDescent="0.3">
      <c r="A16" s="9" t="s">
        <v>27</v>
      </c>
      <c r="B16" s="10"/>
      <c r="C16" s="10"/>
      <c r="D16" s="10"/>
      <c r="E16" s="12">
        <f>E14/E15</f>
        <v>0.10329193991927942</v>
      </c>
    </row>
  </sheetData>
  <mergeCells count="1">
    <mergeCell ref="A1:E1"/>
  </mergeCells>
  <phoneticPr fontId="4" type="noConversion"/>
  <pageMargins left="0.75" right="0.75" top="1" bottom="1" header="0.5" footer="0.5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34" workbookViewId="0"/>
  </sheetViews>
  <sheetFormatPr defaultColWidth="8.77734375" defaultRowHeight="14.4" x14ac:dyDescent="0.3"/>
  <cols>
    <col min="1" max="1" width="65.77734375" style="3" customWidth="1"/>
    <col min="2" max="2" width="11" style="3" customWidth="1"/>
    <col min="3" max="5" width="12" style="3" customWidth="1"/>
    <col min="6" max="6" width="10.44140625" style="3" bestFit="1" customWidth="1"/>
    <col min="7" max="16384" width="8.77734375" style="3"/>
  </cols>
  <sheetData>
    <row r="1" spans="1:6" s="16" customFormat="1" x14ac:dyDescent="0.3">
      <c r="A1" s="17" t="s">
        <v>42</v>
      </c>
      <c r="B1" s="17" t="s">
        <v>34</v>
      </c>
      <c r="C1" s="17" t="s">
        <v>35</v>
      </c>
      <c r="D1" s="17" t="s">
        <v>36</v>
      </c>
      <c r="E1" s="17" t="s">
        <v>37</v>
      </c>
      <c r="F1" s="17" t="s">
        <v>79</v>
      </c>
    </row>
    <row r="2" spans="1:6" s="16" customFormat="1" x14ac:dyDescent="0.3">
      <c r="A2" s="18" t="s">
        <v>44</v>
      </c>
      <c r="B2" s="19">
        <v>39123.5</v>
      </c>
      <c r="C2" s="19"/>
      <c r="D2" s="19"/>
      <c r="E2" s="19">
        <v>39123.5</v>
      </c>
      <c r="F2" s="29">
        <f>E2/E$36</f>
        <v>7.9715159758108592E-4</v>
      </c>
    </row>
    <row r="3" spans="1:6" s="16" customFormat="1" x14ac:dyDescent="0.3">
      <c r="A3" s="18" t="s">
        <v>45</v>
      </c>
      <c r="B3" s="19">
        <v>341250</v>
      </c>
      <c r="C3" s="19">
        <v>375900</v>
      </c>
      <c r="D3" s="19">
        <v>615000</v>
      </c>
      <c r="E3" s="19">
        <v>1332150</v>
      </c>
      <c r="F3" s="29">
        <f t="shared" ref="F3:F35" si="0">E3/E$36</f>
        <v>2.7142906455650533E-2</v>
      </c>
    </row>
    <row r="4" spans="1:6" s="16" customFormat="1" x14ac:dyDescent="0.3">
      <c r="A4" s="18" t="s">
        <v>46</v>
      </c>
      <c r="B4" s="19">
        <v>424900</v>
      </c>
      <c r="C4" s="19">
        <v>436407</v>
      </c>
      <c r="D4" s="19"/>
      <c r="E4" s="19">
        <v>861307</v>
      </c>
      <c r="F4" s="29">
        <f t="shared" si="0"/>
        <v>1.7549356551887545E-2</v>
      </c>
    </row>
    <row r="5" spans="1:6" s="16" customFormat="1" x14ac:dyDescent="0.3">
      <c r="A5" s="18" t="s">
        <v>47</v>
      </c>
      <c r="B5" s="19">
        <v>65954.7</v>
      </c>
      <c r="C5" s="19"/>
      <c r="D5" s="19">
        <v>468593.19</v>
      </c>
      <c r="E5" s="19">
        <v>534547.89</v>
      </c>
      <c r="F5" s="29">
        <f t="shared" si="0"/>
        <v>1.0891553784735481E-2</v>
      </c>
    </row>
    <row r="6" spans="1:6" s="13" customFormat="1" x14ac:dyDescent="0.3">
      <c r="A6" s="18" t="s">
        <v>48</v>
      </c>
      <c r="B6" s="19">
        <v>29412</v>
      </c>
      <c r="C6" s="19"/>
      <c r="D6" s="19"/>
      <c r="E6" s="19">
        <v>29412</v>
      </c>
      <c r="F6" s="29">
        <f t="shared" si="0"/>
        <v>5.9927723204863828E-4</v>
      </c>
    </row>
    <row r="7" spans="1:6" s="13" customFormat="1" x14ac:dyDescent="0.3">
      <c r="A7" s="18" t="s">
        <v>49</v>
      </c>
      <c r="B7" s="19"/>
      <c r="C7" s="19"/>
      <c r="D7" s="19">
        <v>93000</v>
      </c>
      <c r="E7" s="19">
        <v>93000</v>
      </c>
      <c r="F7" s="29">
        <f t="shared" si="0"/>
        <v>1.894899448542206E-3</v>
      </c>
    </row>
    <row r="8" spans="1:6" x14ac:dyDescent="0.3">
      <c r="A8" s="18" t="s">
        <v>50</v>
      </c>
      <c r="B8" s="19">
        <v>362801.25</v>
      </c>
      <c r="C8" s="19"/>
      <c r="D8" s="19">
        <v>504060</v>
      </c>
      <c r="E8" s="19">
        <v>866861.25</v>
      </c>
      <c r="F8" s="29">
        <f t="shared" si="0"/>
        <v>1.7662525855780722E-2</v>
      </c>
    </row>
    <row r="9" spans="1:6" x14ac:dyDescent="0.3">
      <c r="A9" s="18" t="s">
        <v>51</v>
      </c>
      <c r="B9" s="19">
        <v>426790</v>
      </c>
      <c r="C9" s="19">
        <v>284200</v>
      </c>
      <c r="D9" s="19">
        <v>250096</v>
      </c>
      <c r="E9" s="19">
        <v>961086</v>
      </c>
      <c r="F9" s="29">
        <f t="shared" si="0"/>
        <v>1.9582379907544457E-2</v>
      </c>
    </row>
    <row r="10" spans="1:6" x14ac:dyDescent="0.3">
      <c r="A10" s="18" t="s">
        <v>52</v>
      </c>
      <c r="B10" s="19"/>
      <c r="C10" s="19"/>
      <c r="D10" s="19">
        <v>19507.2</v>
      </c>
      <c r="E10" s="19">
        <v>19507.2</v>
      </c>
      <c r="F10" s="29">
        <f t="shared" si="0"/>
        <v>3.9746432820002709E-4</v>
      </c>
    </row>
    <row r="11" spans="1:6" x14ac:dyDescent="0.3">
      <c r="A11" s="18" t="s">
        <v>53</v>
      </c>
      <c r="B11" s="19">
        <v>31875</v>
      </c>
      <c r="C11" s="19"/>
      <c r="D11" s="19"/>
      <c r="E11" s="19">
        <v>31875</v>
      </c>
      <c r="F11" s="29">
        <f t="shared" si="0"/>
        <v>6.4946150454067546E-4</v>
      </c>
    </row>
    <row r="12" spans="1:6" x14ac:dyDescent="0.3">
      <c r="A12" s="18" t="s">
        <v>54</v>
      </c>
      <c r="B12" s="19"/>
      <c r="C12" s="19">
        <v>75614.070000000007</v>
      </c>
      <c r="D12" s="19">
        <v>379606.5</v>
      </c>
      <c r="E12" s="19">
        <v>455220.57</v>
      </c>
      <c r="F12" s="29">
        <f t="shared" si="0"/>
        <v>9.275238785570631E-3</v>
      </c>
    </row>
    <row r="13" spans="1:6" x14ac:dyDescent="0.3">
      <c r="A13" s="18" t="s">
        <v>55</v>
      </c>
      <c r="B13" s="19">
        <v>20880</v>
      </c>
      <c r="C13" s="19"/>
      <c r="D13" s="19"/>
      <c r="E13" s="19">
        <v>20880</v>
      </c>
      <c r="F13" s="29">
        <f t="shared" si="0"/>
        <v>4.2543548909205656E-4</v>
      </c>
    </row>
    <row r="14" spans="1:6" x14ac:dyDescent="0.3">
      <c r="A14" s="18" t="s">
        <v>56</v>
      </c>
      <c r="B14" s="19">
        <v>99601.919999999998</v>
      </c>
      <c r="C14" s="19">
        <v>47914.559999999998</v>
      </c>
      <c r="D14" s="19"/>
      <c r="E14" s="19">
        <v>147516.47999999998</v>
      </c>
      <c r="F14" s="29">
        <f t="shared" si="0"/>
        <v>3.0056870602461002E-3</v>
      </c>
    </row>
    <row r="15" spans="1:6" x14ac:dyDescent="0.3">
      <c r="A15" s="18" t="s">
        <v>57</v>
      </c>
      <c r="B15" s="19"/>
      <c r="C15" s="19">
        <v>548801.9</v>
      </c>
      <c r="D15" s="19"/>
      <c r="E15" s="19">
        <v>548801.9</v>
      </c>
      <c r="F15" s="29">
        <f t="shared" si="0"/>
        <v>1.1181982985687258E-2</v>
      </c>
    </row>
    <row r="16" spans="1:6" x14ac:dyDescent="0.3">
      <c r="A16" s="18" t="s">
        <v>58</v>
      </c>
      <c r="B16" s="19"/>
      <c r="C16" s="19"/>
      <c r="D16" s="19">
        <v>23425</v>
      </c>
      <c r="E16" s="19">
        <v>23425</v>
      </c>
      <c r="F16" s="29">
        <f t="shared" si="0"/>
        <v>4.7729053314087282E-4</v>
      </c>
    </row>
    <row r="17" spans="1:6" x14ac:dyDescent="0.3">
      <c r="A17" s="18" t="s">
        <v>59</v>
      </c>
      <c r="B17" s="19"/>
      <c r="C17" s="19"/>
      <c r="D17" s="19">
        <v>464400</v>
      </c>
      <c r="E17" s="19">
        <v>464400</v>
      </c>
      <c r="F17" s="29">
        <f t="shared" si="0"/>
        <v>9.4622720849784989E-3</v>
      </c>
    </row>
    <row r="18" spans="1:6" x14ac:dyDescent="0.3">
      <c r="A18" s="18" t="s">
        <v>60</v>
      </c>
      <c r="B18" s="19">
        <v>10850</v>
      </c>
      <c r="C18" s="19">
        <v>3100</v>
      </c>
      <c r="D18" s="19"/>
      <c r="E18" s="19">
        <v>13950</v>
      </c>
      <c r="F18" s="29">
        <f t="shared" si="0"/>
        <v>2.8423491728133088E-4</v>
      </c>
    </row>
    <row r="19" spans="1:6" x14ac:dyDescent="0.3">
      <c r="A19" s="18" t="s">
        <v>61</v>
      </c>
      <c r="B19" s="19"/>
      <c r="C19" s="19">
        <v>30784.799999999999</v>
      </c>
      <c r="D19" s="19"/>
      <c r="E19" s="19">
        <v>30784.799999999999</v>
      </c>
      <c r="F19" s="29">
        <f t="shared" si="0"/>
        <v>6.272483929406677E-4</v>
      </c>
    </row>
    <row r="20" spans="1:6" x14ac:dyDescent="0.3">
      <c r="A20" s="18" t="s">
        <v>62</v>
      </c>
      <c r="B20" s="19"/>
      <c r="C20" s="19"/>
      <c r="D20" s="19">
        <v>33070.800000000003</v>
      </c>
      <c r="E20" s="19">
        <v>33070.800000000003</v>
      </c>
      <c r="F20" s="29">
        <f t="shared" si="0"/>
        <v>6.7382624390160853E-4</v>
      </c>
    </row>
    <row r="21" spans="1:6" x14ac:dyDescent="0.3">
      <c r="A21" s="18" t="s">
        <v>63</v>
      </c>
      <c r="B21" s="19"/>
      <c r="C21" s="19"/>
      <c r="D21" s="19">
        <v>257300</v>
      </c>
      <c r="E21" s="19">
        <v>257300</v>
      </c>
      <c r="F21" s="29">
        <f t="shared" si="0"/>
        <v>5.2425551409667698E-3</v>
      </c>
    </row>
    <row r="22" spans="1:6" x14ac:dyDescent="0.3">
      <c r="A22" s="18" t="s">
        <v>64</v>
      </c>
      <c r="B22" s="19">
        <v>107680</v>
      </c>
      <c r="C22" s="19">
        <v>91124.2</v>
      </c>
      <c r="D22" s="19"/>
      <c r="E22" s="19">
        <v>198804.2</v>
      </c>
      <c r="F22" s="29">
        <f t="shared" si="0"/>
        <v>4.0506878381491879E-3</v>
      </c>
    </row>
    <row r="23" spans="1:6" x14ac:dyDescent="0.3">
      <c r="A23" s="18" t="s">
        <v>65</v>
      </c>
      <c r="B23" s="19"/>
      <c r="C23" s="19"/>
      <c r="D23" s="19">
        <v>1369949</v>
      </c>
      <c r="E23" s="19">
        <v>1369949</v>
      </c>
      <c r="F23" s="29">
        <f t="shared" si="0"/>
        <v>2.791307101753706E-2</v>
      </c>
    </row>
    <row r="24" spans="1:6" x14ac:dyDescent="0.3">
      <c r="A24" s="18" t="s">
        <v>66</v>
      </c>
      <c r="B24" s="19"/>
      <c r="C24" s="19"/>
      <c r="D24" s="19">
        <v>7525</v>
      </c>
      <c r="E24" s="19">
        <v>7525</v>
      </c>
      <c r="F24" s="29">
        <f t="shared" si="0"/>
        <v>1.5332385322881827E-4</v>
      </c>
    </row>
    <row r="25" spans="1:6" x14ac:dyDescent="0.3">
      <c r="A25" s="18" t="s">
        <v>67</v>
      </c>
      <c r="B25" s="19"/>
      <c r="C25" s="19">
        <v>715050</v>
      </c>
      <c r="D25" s="19">
        <v>510750</v>
      </c>
      <c r="E25" s="19">
        <v>1225800</v>
      </c>
      <c r="F25" s="29">
        <f t="shared" si="0"/>
        <v>2.4975997247559528E-2</v>
      </c>
    </row>
    <row r="26" spans="1:6" x14ac:dyDescent="0.3">
      <c r="A26" s="18" t="s">
        <v>68</v>
      </c>
      <c r="B26" s="19"/>
      <c r="C26" s="19"/>
      <c r="D26" s="19">
        <v>978348</v>
      </c>
      <c r="E26" s="19">
        <v>978348</v>
      </c>
      <c r="F26" s="29">
        <f t="shared" si="0"/>
        <v>1.9934097695509356E-2</v>
      </c>
    </row>
    <row r="27" spans="1:6" x14ac:dyDescent="0.3">
      <c r="A27" s="18" t="s">
        <v>69</v>
      </c>
      <c r="B27" s="19">
        <v>227441.76</v>
      </c>
      <c r="C27" s="19">
        <v>1431218.88</v>
      </c>
      <c r="D27" s="19"/>
      <c r="E27" s="19">
        <v>1658660.64</v>
      </c>
      <c r="F27" s="29">
        <f t="shared" si="0"/>
        <v>3.3795646581232928E-2</v>
      </c>
    </row>
    <row r="28" spans="1:6" x14ac:dyDescent="0.3">
      <c r="A28" s="18" t="s">
        <v>70</v>
      </c>
      <c r="B28" s="19">
        <v>347309.28</v>
      </c>
      <c r="C28" s="19"/>
      <c r="D28" s="19"/>
      <c r="E28" s="19">
        <v>347309.28</v>
      </c>
      <c r="F28" s="29">
        <f t="shared" si="0"/>
        <v>7.076517883285921E-3</v>
      </c>
    </row>
    <row r="29" spans="1:6" x14ac:dyDescent="0.3">
      <c r="A29" s="18" t="s">
        <v>71</v>
      </c>
      <c r="B29" s="19"/>
      <c r="C29" s="19">
        <v>198792.5</v>
      </c>
      <c r="D29" s="19"/>
      <c r="E29" s="19">
        <v>198792.5</v>
      </c>
      <c r="F29" s="29">
        <f t="shared" si="0"/>
        <v>4.0504494475734031E-3</v>
      </c>
    </row>
    <row r="30" spans="1:6" x14ac:dyDescent="0.3">
      <c r="A30" s="18" t="s">
        <v>72</v>
      </c>
      <c r="B30" s="19"/>
      <c r="C30" s="19"/>
      <c r="D30" s="19">
        <v>12608445</v>
      </c>
      <c r="E30" s="19">
        <v>12608445</v>
      </c>
      <c r="F30" s="29">
        <f t="shared" si="0"/>
        <v>0.25690038147822297</v>
      </c>
    </row>
    <row r="31" spans="1:6" x14ac:dyDescent="0.3">
      <c r="A31" s="18" t="s">
        <v>73</v>
      </c>
      <c r="B31" s="19">
        <v>1082423.81</v>
      </c>
      <c r="C31" s="19">
        <v>14645569.539999999</v>
      </c>
      <c r="D31" s="19">
        <v>7258500</v>
      </c>
      <c r="E31" s="19">
        <v>22986493.350000001</v>
      </c>
      <c r="F31" s="29">
        <f t="shared" si="0"/>
        <v>0.46835584486918375</v>
      </c>
    </row>
    <row r="32" spans="1:6" x14ac:dyDescent="0.3">
      <c r="A32" s="18" t="s">
        <v>74</v>
      </c>
      <c r="B32" s="19">
        <v>257733</v>
      </c>
      <c r="C32" s="19"/>
      <c r="D32" s="19">
        <v>325500</v>
      </c>
      <c r="E32" s="19">
        <v>583233</v>
      </c>
      <c r="F32" s="29">
        <f t="shared" si="0"/>
        <v>1.1883525699694799E-2</v>
      </c>
    </row>
    <row r="33" spans="1:6" x14ac:dyDescent="0.3">
      <c r="A33" s="18" t="s">
        <v>75</v>
      </c>
      <c r="B33" s="19">
        <v>76500</v>
      </c>
      <c r="C33" s="19"/>
      <c r="D33" s="19"/>
      <c r="E33" s="19">
        <v>76500</v>
      </c>
      <c r="F33" s="29">
        <f t="shared" si="0"/>
        <v>1.558707610897621E-3</v>
      </c>
    </row>
    <row r="34" spans="1:6" x14ac:dyDescent="0.3">
      <c r="A34" s="18" t="s">
        <v>76</v>
      </c>
      <c r="B34" s="19"/>
      <c r="C34" s="19">
        <v>50292</v>
      </c>
      <c r="D34" s="19"/>
      <c r="E34" s="19">
        <v>50292</v>
      </c>
      <c r="F34" s="29">
        <f t="shared" si="0"/>
        <v>1.0247127211406948E-3</v>
      </c>
    </row>
    <row r="35" spans="1:6" x14ac:dyDescent="0.3">
      <c r="A35" s="18" t="s">
        <v>77</v>
      </c>
      <c r="B35" s="19"/>
      <c r="C35" s="19">
        <v>4950</v>
      </c>
      <c r="D35" s="19">
        <v>19800</v>
      </c>
      <c r="E35" s="19">
        <v>24750</v>
      </c>
      <c r="F35" s="29">
        <f t="shared" si="0"/>
        <v>5.0428775646687738E-4</v>
      </c>
    </row>
    <row r="36" spans="1:6" x14ac:dyDescent="0.3">
      <c r="A36" s="20" t="s">
        <v>37</v>
      </c>
      <c r="B36" s="21">
        <v>3952526.22</v>
      </c>
      <c r="C36" s="21">
        <v>18939719.449999999</v>
      </c>
      <c r="D36" s="21">
        <v>26186875.689999998</v>
      </c>
      <c r="E36" s="21">
        <v>49079121.359999999</v>
      </c>
      <c r="F36" s="5"/>
    </row>
    <row r="37" spans="1:6" s="14" customFormat="1" x14ac:dyDescent="0.3">
      <c r="A37" s="22"/>
      <c r="B37" s="23"/>
      <c r="C37" s="23"/>
      <c r="D37" s="23"/>
      <c r="E37" s="23"/>
    </row>
    <row r="38" spans="1:6" s="14" customFormat="1" x14ac:dyDescent="0.3">
      <c r="A38" s="22"/>
      <c r="B38" s="23"/>
      <c r="C38" s="23"/>
      <c r="D38" s="23"/>
      <c r="E38" s="23"/>
    </row>
    <row r="39" spans="1:6" s="15" customFormat="1" ht="18.45" customHeight="1" x14ac:dyDescent="0.3">
      <c r="A39" s="9" t="s">
        <v>1</v>
      </c>
      <c r="B39" s="10">
        <v>17</v>
      </c>
      <c r="C39" s="10">
        <v>15</v>
      </c>
      <c r="D39" s="10">
        <v>19</v>
      </c>
      <c r="E39" s="11">
        <v>34</v>
      </c>
    </row>
    <row r="40" spans="1:6" s="15" customFormat="1" ht="18.45" customHeight="1" x14ac:dyDescent="0.3">
      <c r="A40" s="9" t="s">
        <v>30</v>
      </c>
      <c r="B40" s="10"/>
      <c r="C40" s="10"/>
      <c r="D40" s="10">
        <v>35</v>
      </c>
      <c r="E40" s="10"/>
    </row>
    <row r="41" spans="1:6" s="15" customFormat="1" x14ac:dyDescent="0.3">
      <c r="A41" s="9" t="s">
        <v>28</v>
      </c>
      <c r="B41" s="10"/>
      <c r="C41" s="10"/>
      <c r="D41" s="10"/>
      <c r="E41" s="11"/>
    </row>
    <row r="42" spans="1:6" s="15" customFormat="1" x14ac:dyDescent="0.3">
      <c r="A42" s="9" t="s">
        <v>29</v>
      </c>
      <c r="B42" s="10"/>
      <c r="C42" s="10"/>
      <c r="D42" s="10"/>
      <c r="E42" s="11"/>
    </row>
  </sheetData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B4" sqref="B4"/>
    </sheetView>
  </sheetViews>
  <sheetFormatPr defaultRowHeight="14.4" x14ac:dyDescent="0.3"/>
  <cols>
    <col min="1" max="10" width="20" customWidth="1"/>
  </cols>
  <sheetData>
    <row r="1" spans="1:10" ht="21" x14ac:dyDescent="0.4">
      <c r="A1" s="27" t="s">
        <v>3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x14ac:dyDescent="0.3">
      <c r="A3" s="1" t="s">
        <v>4</v>
      </c>
      <c r="B3" s="1" t="s">
        <v>10</v>
      </c>
      <c r="C3" s="1" t="s">
        <v>11</v>
      </c>
      <c r="D3" s="1"/>
      <c r="E3" s="1" t="s">
        <v>12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3">
      <c r="A4" s="2" t="s">
        <v>13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2" t="s">
        <v>14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" t="s">
        <v>15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 s="2" t="s">
        <v>16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 t="s">
        <v>17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 t="s">
        <v>18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 t="s">
        <v>20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 t="s">
        <v>19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 t="s">
        <v>21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 t="s">
        <v>22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4" t="s">
        <v>25</v>
      </c>
    </row>
  </sheetData>
  <mergeCells count="1">
    <mergeCell ref="A1:J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Summary</vt:lpstr>
      <vt:lpstr>Customerwise Sales</vt:lpstr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meghran</dc:creator>
  <cp:lastModifiedBy>NDPL SALES</cp:lastModifiedBy>
  <cp:lastPrinted>2026-07-13T12:02:07Z</cp:lastPrinted>
  <dcterms:created xsi:type="dcterms:W3CDTF">2026-07-03T03:50:45Z</dcterms:created>
  <dcterms:modified xsi:type="dcterms:W3CDTF">2026-07-14T10:44:32Z</dcterms:modified>
</cp:coreProperties>
</file>