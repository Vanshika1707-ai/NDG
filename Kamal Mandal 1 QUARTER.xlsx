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itesh old laptop d drive\hitesh jain\d\old com data\d\MY DOCUMENTS\PROJECT LIST\AMAZING MEDIA\SALES REPORT 2026-2027\1ST QUARTER\"/>
    </mc:Choice>
  </mc:AlternateContent>
  <bookViews>
    <workbookView xWindow="0" yWindow="0" windowWidth="19200" windowHeight="7190"/>
  </bookViews>
  <sheets>
    <sheet name="Q1 Summary" sheetId="1" r:id="rId1"/>
    <sheet name="Customerwise Sales" sheetId="4" r:id="rId2"/>
    <sheet name="Planning" sheetId="3" r:id="rId3"/>
  </sheets>
  <definedNames>
    <definedName name="_xlnm._FilterDatabase" localSheetId="1" hidden="1">'Customerwise Sales'!$A$6:$E$41</definedName>
  </definedNames>
  <calcPr calcId="162913"/>
</workbook>
</file>

<file path=xl/calcChain.xml><?xml version="1.0" encoding="utf-8"?>
<calcChain xmlns="http://schemas.openxmlformats.org/spreadsheetml/2006/main">
  <c r="E17" i="1" l="1"/>
  <c r="E15" i="1"/>
  <c r="E18" i="1" s="1"/>
  <c r="E13" i="1"/>
  <c r="E12" i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2" i="4"/>
  <c r="E16" i="1" l="1"/>
  <c r="E7" i="1"/>
  <c r="E6" i="1"/>
  <c r="E21" i="1" l="1"/>
  <c r="E11" i="1" l="1"/>
  <c r="E5" i="1" l="1"/>
  <c r="E4" i="1"/>
  <c r="E10" i="1"/>
  <c r="E8" i="1"/>
  <c r="E9" i="1"/>
</calcChain>
</file>

<file path=xl/sharedStrings.xml><?xml version="1.0" encoding="utf-8"?>
<sst xmlns="http://schemas.openxmlformats.org/spreadsheetml/2006/main" count="90" uniqueCount="89">
  <si>
    <t>Product / Category</t>
  </si>
  <si>
    <t>Apr'26</t>
  </si>
  <si>
    <t>May'26</t>
  </si>
  <si>
    <t>Jun'26</t>
  </si>
  <si>
    <t>Q1 Total</t>
  </si>
  <si>
    <t>Total Customers Billed</t>
  </si>
  <si>
    <t>Collection (Rs.)</t>
  </si>
  <si>
    <t>Sales Planning Sheet</t>
  </si>
  <si>
    <t>Product</t>
  </si>
  <si>
    <t>Aug'26</t>
  </si>
  <si>
    <t>Sep'26</t>
  </si>
  <si>
    <t>Q2</t>
  </si>
  <si>
    <t>Q3</t>
  </si>
  <si>
    <t>Q4</t>
  </si>
  <si>
    <t>QTR 1</t>
  </si>
  <si>
    <t xml:space="preserve"> Target</t>
  </si>
  <si>
    <t xml:space="preserve"> Jul'26</t>
  </si>
  <si>
    <t>April fine (Board)</t>
  </si>
  <si>
    <t>April fine (Paper )</t>
  </si>
  <si>
    <t>ART PAPER</t>
  </si>
  <si>
    <t>ARTICA (Board)</t>
  </si>
  <si>
    <t>Artica Intense Black</t>
  </si>
  <si>
    <t>ARTICA (Paper)</t>
  </si>
  <si>
    <t>Century  (Board)</t>
  </si>
  <si>
    <t>Century  (Paper)</t>
  </si>
  <si>
    <t>FLEXBOARD</t>
  </si>
  <si>
    <t>Polyplex</t>
  </si>
  <si>
    <t>Cosmo</t>
  </si>
  <si>
    <t xml:space="preserve">HB Fuller </t>
  </si>
  <si>
    <t xml:space="preserve">Write remaining </t>
  </si>
  <si>
    <t>Sara Lam / Amazing Media</t>
  </si>
  <si>
    <t>Cosmo / Amazing Media</t>
  </si>
  <si>
    <t>Total Value Sale (Amount)</t>
  </si>
  <si>
    <t>Overdue %age of total due as on 30th June, 2026</t>
  </si>
  <si>
    <t>New Customer Billed in Numbers</t>
  </si>
  <si>
    <t>New Customer Billed in Value</t>
  </si>
  <si>
    <t>Total Customer Met</t>
  </si>
  <si>
    <t>Average Debtor Days (Avereage Debtor/Net sales*90)</t>
  </si>
  <si>
    <t>Overdue Payment as on 30th June 2026 for more than 15 Days</t>
  </si>
  <si>
    <t>Total Due as on 30th June 2026</t>
  </si>
  <si>
    <t>Apr</t>
  </si>
  <si>
    <t>May</t>
  </si>
  <si>
    <t>Jun</t>
  </si>
  <si>
    <t>Grand Total</t>
  </si>
  <si>
    <t xml:space="preserve">Adhesive </t>
  </si>
  <si>
    <t>Artica</t>
  </si>
  <si>
    <t>Binding Board</t>
  </si>
  <si>
    <t xml:space="preserve">April Fine (Board)/Paper And Board  </t>
  </si>
  <si>
    <t xml:space="preserve">April Fine (Paper)/Paper And Board  </t>
  </si>
  <si>
    <t>Boyer</t>
  </si>
  <si>
    <t>Row Labels</t>
  </si>
  <si>
    <t>Average Debtor (Closing Debtor+Opning Debtor)/2</t>
  </si>
  <si>
    <t>AAKASH ENTERPRISES PROP.AAKASH KUMAR</t>
  </si>
  <si>
    <t>ANAND INTERNATIONAL</t>
  </si>
  <si>
    <t>ANY GRAPHIC PVT. LTD</t>
  </si>
  <si>
    <t>A-ONE BOARD CO.PROP.SARTHAK JAIN</t>
  </si>
  <si>
    <t>AZURE PRESS PVT.LTD.</t>
  </si>
  <si>
    <t>COLOR WAVES PROP KAMAL KANT GARG</t>
  </si>
  <si>
    <t>COLORPLAST SYSTEMS PVT.LTD. (NOIDA SEC-63)</t>
  </si>
  <si>
    <t>CREATIVE OFFSET PRINTERS P. LTD.</t>
  </si>
  <si>
    <t>DCG TECH LTD</t>
  </si>
  <si>
    <t>DESIGN INDEX INDIA PROP.MAYURI SETHI</t>
  </si>
  <si>
    <t>G AND G PRINTERS</t>
  </si>
  <si>
    <t>GRAPNEL INSTRUMENT PROP.SHIV KUMAR BHARGAVA</t>
  </si>
  <si>
    <t>INDRA IMPEX  CORPORATION PROP.RACHNA GUPTA</t>
  </si>
  <si>
    <t>INGENIOUS APPLIANCES &amp; PACKAGING PVT.LTD.</t>
  </si>
  <si>
    <t>INMARK EXPORTS PVT.LTD.</t>
  </si>
  <si>
    <t>J.P.PRINT N PACK</t>
  </si>
  <si>
    <t>KESHAVA PRINT LINE</t>
  </si>
  <si>
    <t>LABELWALA</t>
  </si>
  <si>
    <t>LYNX DESIGNERS &amp; CREATORS PRIVATE LIMITED</t>
  </si>
  <si>
    <t>MAURYA INDUSTRIES PROP BIPAT RAM</t>
  </si>
  <si>
    <t>NESTOR CONVERTERS PRIVATE LIMITED</t>
  </si>
  <si>
    <t>PACKMAAX INDIA</t>
  </si>
  <si>
    <t>PLATINUM PRINT N PACK</t>
  </si>
  <si>
    <t>PREM MARKETING CO PROP.CHANDA KHANDELWAL</t>
  </si>
  <si>
    <t>RG LABELS AND STICKERS PROP.RAJAT GUPTA</t>
  </si>
  <si>
    <t xml:space="preserve">SAGAR CHAND JAIN PROP.SAGAR CHAND JAIN_x000D_
_x000D_
</t>
  </si>
  <si>
    <t>SAI PRINT O PACK PROP YOGESH KUMAR CHAUHAN</t>
  </si>
  <si>
    <t>SAJAL PAPER COMPANY PROP SAJAL JAIN</t>
  </si>
  <si>
    <t>STYLE PACKER PROP. PRAG SAREEN</t>
  </si>
  <si>
    <t>SURYA ADVERTISERS PROP.AMAN SAGGAR</t>
  </si>
  <si>
    <t>SWASTIK PACKAGINGS</t>
  </si>
  <si>
    <t>THE PRINT SHOP</t>
  </si>
  <si>
    <t xml:space="preserve">YUTO PRINTING PACKAGING (INDIA) PRIVATE LIMITED _x000D_
</t>
  </si>
  <si>
    <t>Percentage</t>
  </si>
  <si>
    <t>Kamal Mandal Template - Business at a Glance (Quarter 1)</t>
  </si>
  <si>
    <t>Du Pont</t>
  </si>
  <si>
    <t>Nisiwood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</si>
</sst>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32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0" xfId="0"/>
    <xf numFmtId="0" fontId="3" fillId="0" borderId="0" xfId="0" applyFont="1"/>
    <xf numFmtId="0" fontId="0" fillId="0" borderId="2" xfId="0" applyBorder="1"/>
    <xf numFmtId="0" fontId="8" fillId="0" borderId="2" xfId="0" applyFont="1" applyBorder="1"/>
    <xf numFmtId="43" fontId="0" fillId="0" borderId="2" xfId="1" applyFont="1" applyBorder="1"/>
    <xf numFmtId="43" fontId="6" fillId="0" borderId="2" xfId="1" applyFont="1" applyBorder="1"/>
    <xf numFmtId="43" fontId="6" fillId="0" borderId="2" xfId="1" applyFont="1" applyBorder="1" applyAlignment="1">
      <alignment vertical="center"/>
    </xf>
    <xf numFmtId="0" fontId="0" fillId="3" borderId="2" xfId="0" applyFill="1" applyBorder="1"/>
    <xf numFmtId="43" fontId="0" fillId="3" borderId="2" xfId="1" applyFont="1" applyFill="1" applyBorder="1"/>
    <xf numFmtId="43" fontId="6" fillId="3" borderId="2" xfId="1" applyFont="1" applyFill="1" applyBorder="1"/>
    <xf numFmtId="10" fontId="6" fillId="3" borderId="2" xfId="2" applyNumberFormat="1" applyFont="1" applyFill="1" applyBorder="1"/>
    <xf numFmtId="0" fontId="0" fillId="0" borderId="0" xfId="0" applyAlignment="1">
      <alignment vertical="center"/>
    </xf>
    <xf numFmtId="0" fontId="0" fillId="0" borderId="0" xfId="0" applyFill="1" applyBorder="1"/>
    <xf numFmtId="0" fontId="0" fillId="0" borderId="0" xfId="0"/>
    <xf numFmtId="0" fontId="0" fillId="0" borderId="0" xfId="0"/>
    <xf numFmtId="0" fontId="6" fillId="4" borderId="2" xfId="0" applyFont="1" applyFill="1" applyBorder="1"/>
    <xf numFmtId="0" fontId="0" fillId="0" borderId="2" xfId="0" applyBorder="1" applyAlignment="1">
      <alignment horizontal="left"/>
    </xf>
    <xf numFmtId="0" fontId="0" fillId="0" borderId="2" xfId="0" applyNumberFormat="1" applyBorder="1"/>
    <xf numFmtId="0" fontId="6" fillId="0" borderId="0" xfId="0" applyFont="1" applyFill="1" applyBorder="1" applyAlignment="1">
      <alignment horizontal="left"/>
    </xf>
    <xf numFmtId="0" fontId="6" fillId="0" borderId="0" xfId="0" applyNumberFormat="1" applyFont="1" applyFill="1" applyBorder="1"/>
    <xf numFmtId="0" fontId="2" fillId="2" borderId="2" xfId="0" applyFont="1" applyFill="1" applyBorder="1" applyAlignment="1">
      <alignment horizontal="center" vertical="center"/>
    </xf>
    <xf numFmtId="0" fontId="0" fillId="0" borderId="0" xfId="0"/>
    <xf numFmtId="0" fontId="6" fillId="4" borderId="5" xfId="0" applyFont="1" applyFill="1" applyBorder="1" applyAlignment="1">
      <alignment horizontal="left"/>
    </xf>
    <xf numFmtId="0" fontId="6" fillId="4" borderId="5" xfId="0" applyNumberFormat="1" applyFont="1" applyFill="1" applyBorder="1"/>
    <xf numFmtId="10" fontId="0" fillId="0" borderId="2" xfId="2" applyNumberFormat="1" applyFont="1" applyBorder="1"/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4">
    <cellStyle name="Comma" xfId="1" builtinId="3"/>
    <cellStyle name="Comma 2" xf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sqref="A1:E1"/>
    </sheetView>
  </sheetViews>
  <sheetFormatPr defaultRowHeight="18.5" customHeight="1" x14ac:dyDescent="0.35"/>
  <cols>
    <col min="1" max="1" width="52.54296875" customWidth="1"/>
    <col min="2" max="3" width="14.08984375" customWidth="1"/>
    <col min="4" max="4" width="15.08984375" bestFit="1" customWidth="1"/>
    <col min="5" max="5" width="15.6328125" customWidth="1"/>
  </cols>
  <sheetData>
    <row r="1" spans="1:5" s="14" customFormat="1" ht="26.4" customHeight="1" x14ac:dyDescent="0.35">
      <c r="A1" s="28" t="s">
        <v>86</v>
      </c>
      <c r="B1" s="29"/>
      <c r="C1" s="29"/>
      <c r="D1" s="29"/>
      <c r="E1" s="29"/>
    </row>
    <row r="2" spans="1:5" ht="10.25" customHeight="1" x14ac:dyDescent="0.35">
      <c r="A2" s="5"/>
      <c r="B2" s="5"/>
      <c r="C2" s="5"/>
      <c r="D2" s="5"/>
      <c r="E2" s="5"/>
    </row>
    <row r="3" spans="1:5" s="14" customFormat="1" ht="21.65" customHeight="1" x14ac:dyDescent="0.35">
      <c r="A3" s="23" t="s">
        <v>0</v>
      </c>
      <c r="B3" s="23" t="s">
        <v>1</v>
      </c>
      <c r="C3" s="23" t="s">
        <v>2</v>
      </c>
      <c r="D3" s="23" t="s">
        <v>3</v>
      </c>
      <c r="E3" s="23" t="s">
        <v>4</v>
      </c>
    </row>
    <row r="4" spans="1:5" ht="18.5" customHeight="1" x14ac:dyDescent="0.35">
      <c r="A4" s="6" t="s">
        <v>47</v>
      </c>
      <c r="B4" s="7">
        <v>74641.27</v>
      </c>
      <c r="C4" s="7">
        <v>44252.360000000008</v>
      </c>
      <c r="D4" s="7">
        <v>43106.710000000006</v>
      </c>
      <c r="E4" s="8">
        <f t="shared" ref="E4:E13" si="0">SUM(B4:D4)</f>
        <v>162000.34000000003</v>
      </c>
    </row>
    <row r="5" spans="1:5" ht="14.5" x14ac:dyDescent="0.35">
      <c r="A5" s="6" t="s">
        <v>48</v>
      </c>
      <c r="B5" s="7">
        <v>11369.07</v>
      </c>
      <c r="C5" s="7">
        <v>1194.3800000000001</v>
      </c>
      <c r="D5" s="7">
        <v>8274</v>
      </c>
      <c r="E5" s="8">
        <f t="shared" si="0"/>
        <v>20837.45</v>
      </c>
    </row>
    <row r="6" spans="1:5" s="17" customFormat="1" ht="14.5" x14ac:dyDescent="0.35">
      <c r="A6" s="6" t="s">
        <v>46</v>
      </c>
      <c r="B6" s="7">
        <v>1889.33</v>
      </c>
      <c r="C6" s="7">
        <v>8503.2099999999991</v>
      </c>
      <c r="D6" s="7">
        <v>4128.3500000000004</v>
      </c>
      <c r="E6" s="8">
        <f t="shared" si="0"/>
        <v>14520.89</v>
      </c>
    </row>
    <row r="7" spans="1:5" s="17" customFormat="1" ht="14.5" x14ac:dyDescent="0.35">
      <c r="A7" s="6" t="s">
        <v>49</v>
      </c>
      <c r="B7" s="7">
        <v>1168.8599999999999</v>
      </c>
      <c r="C7" s="7"/>
      <c r="D7" s="7">
        <v>3009.24</v>
      </c>
      <c r="E7" s="8">
        <f t="shared" si="0"/>
        <v>4178.0999999999995</v>
      </c>
    </row>
    <row r="8" spans="1:5" ht="18.5" customHeight="1" x14ac:dyDescent="0.35">
      <c r="A8" s="5" t="s">
        <v>44</v>
      </c>
      <c r="B8" s="7">
        <v>125</v>
      </c>
      <c r="C8" s="7"/>
      <c r="D8" s="7">
        <v>50</v>
      </c>
      <c r="E8" s="8">
        <f t="shared" si="0"/>
        <v>175</v>
      </c>
    </row>
    <row r="9" spans="1:5" ht="18.5" customHeight="1" x14ac:dyDescent="0.35">
      <c r="A9" s="5" t="s">
        <v>30</v>
      </c>
      <c r="B9" s="7">
        <v>34.200000000000003</v>
      </c>
      <c r="C9" s="7"/>
      <c r="D9" s="7"/>
      <c r="E9" s="8">
        <f t="shared" si="0"/>
        <v>34.200000000000003</v>
      </c>
    </row>
    <row r="10" spans="1:5" ht="18.5" customHeight="1" x14ac:dyDescent="0.35">
      <c r="A10" s="5" t="s">
        <v>31</v>
      </c>
      <c r="B10" s="7">
        <v>21000</v>
      </c>
      <c r="C10" s="7"/>
      <c r="D10" s="7"/>
      <c r="E10" s="8">
        <f t="shared" si="0"/>
        <v>21000</v>
      </c>
    </row>
    <row r="11" spans="1:5" ht="18.5" customHeight="1" x14ac:dyDescent="0.35">
      <c r="A11" s="5" t="s">
        <v>45</v>
      </c>
      <c r="B11" s="7"/>
      <c r="C11" s="7">
        <v>7930.6000000000013</v>
      </c>
      <c r="D11" s="7">
        <v>2989.02</v>
      </c>
      <c r="E11" s="9">
        <f t="shared" si="0"/>
        <v>10919.62</v>
      </c>
    </row>
    <row r="12" spans="1:5" s="24" customFormat="1" ht="18.5" customHeight="1" x14ac:dyDescent="0.35">
      <c r="A12" s="5" t="s">
        <v>87</v>
      </c>
      <c r="B12" s="7">
        <v>3201.6</v>
      </c>
      <c r="C12" s="7">
        <v>1935</v>
      </c>
      <c r="D12" s="7">
        <v>101.6</v>
      </c>
      <c r="E12" s="9">
        <f t="shared" si="0"/>
        <v>5238.2000000000007</v>
      </c>
    </row>
    <row r="13" spans="1:5" ht="18.5" customHeight="1" x14ac:dyDescent="0.35">
      <c r="A13" s="5" t="s">
        <v>88</v>
      </c>
      <c r="B13" s="7"/>
      <c r="C13" s="7"/>
      <c r="D13" s="7">
        <v>202</v>
      </c>
      <c r="E13" s="9">
        <f t="shared" si="0"/>
        <v>202</v>
      </c>
    </row>
    <row r="14" spans="1:5" ht="18.5" customHeight="1" x14ac:dyDescent="0.35">
      <c r="A14" s="5"/>
      <c r="B14" s="7"/>
      <c r="C14" s="7"/>
      <c r="D14" s="7"/>
      <c r="E14" s="7"/>
    </row>
    <row r="15" spans="1:5" ht="18.5" customHeight="1" x14ac:dyDescent="0.35">
      <c r="A15" s="10" t="s">
        <v>32</v>
      </c>
      <c r="B15" s="11">
        <v>7138620.5099999998</v>
      </c>
      <c r="C15" s="11">
        <v>4901175.1800000006</v>
      </c>
      <c r="D15" s="11">
        <v>4220679.209999999</v>
      </c>
      <c r="E15" s="12">
        <f>B15+C15+D15</f>
        <v>16260474.9</v>
      </c>
    </row>
    <row r="16" spans="1:5" ht="18.5" customHeight="1" x14ac:dyDescent="0.35">
      <c r="A16" s="10" t="s">
        <v>6</v>
      </c>
      <c r="B16" s="11">
        <v>12687489</v>
      </c>
      <c r="C16" s="11">
        <v>6186771</v>
      </c>
      <c r="D16" s="11">
        <v>3259104</v>
      </c>
      <c r="E16" s="12">
        <f>SUM(B16:D16)</f>
        <v>22133364</v>
      </c>
    </row>
    <row r="17" spans="1:5" s="3" customFormat="1" ht="18.5" customHeight="1" x14ac:dyDescent="0.35">
      <c r="A17" s="10" t="s">
        <v>51</v>
      </c>
      <c r="B17" s="11"/>
      <c r="C17" s="11"/>
      <c r="D17" s="11"/>
      <c r="E17" s="12">
        <f>(14782360+12092622)/2</f>
        <v>13437491</v>
      </c>
    </row>
    <row r="18" spans="1:5" s="3" customFormat="1" ht="18.5" customHeight="1" x14ac:dyDescent="0.35">
      <c r="A18" s="10" t="s">
        <v>37</v>
      </c>
      <c r="B18" s="11"/>
      <c r="C18" s="11"/>
      <c r="D18" s="11"/>
      <c r="E18" s="12">
        <f>E17/E15*90</f>
        <v>74.375084211101353</v>
      </c>
    </row>
    <row r="19" spans="1:5" s="3" customFormat="1" ht="18.5" customHeight="1" x14ac:dyDescent="0.35">
      <c r="A19" s="10" t="s">
        <v>38</v>
      </c>
      <c r="B19" s="11"/>
      <c r="C19" s="11"/>
      <c r="D19" s="11"/>
      <c r="E19" s="12">
        <v>4592518</v>
      </c>
    </row>
    <row r="20" spans="1:5" s="3" customFormat="1" ht="18.5" customHeight="1" x14ac:dyDescent="0.35">
      <c r="A20" s="10" t="s">
        <v>39</v>
      </c>
      <c r="B20" s="11"/>
      <c r="C20" s="11"/>
      <c r="D20" s="11"/>
      <c r="E20" s="12">
        <v>12112622</v>
      </c>
    </row>
    <row r="21" spans="1:5" ht="18.5" customHeight="1" x14ac:dyDescent="0.35">
      <c r="A21" s="10" t="s">
        <v>33</v>
      </c>
      <c r="B21" s="11"/>
      <c r="C21" s="11"/>
      <c r="D21" s="11"/>
      <c r="E21" s="13">
        <f>E19/E20</f>
        <v>0.3791514339339575</v>
      </c>
    </row>
  </sheetData>
  <mergeCells count="1">
    <mergeCell ref="A1:E1"/>
  </mergeCells>
  <phoneticPr fontId="4" type="noConversion"/>
  <pageMargins left="0.75" right="0.75" top="1" bottom="1" header="0.5" footer="0.5"/>
  <pageSetup paperSize="9" scale="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20" workbookViewId="0">
      <selection activeCell="D43" sqref="D43"/>
    </sheetView>
  </sheetViews>
  <sheetFormatPr defaultColWidth="8.81640625" defaultRowHeight="14.5" x14ac:dyDescent="0.35"/>
  <cols>
    <col min="1" max="1" width="47.81640625" style="3" customWidth="1"/>
    <col min="2" max="5" width="11" style="3" customWidth="1"/>
    <col min="6" max="6" width="10.453125" style="3" bestFit="1" customWidth="1"/>
    <col min="7" max="16384" width="8.81640625" style="3"/>
  </cols>
  <sheetData>
    <row r="1" spans="1:6" s="17" customFormat="1" x14ac:dyDescent="0.35">
      <c r="A1" s="18" t="s">
        <v>50</v>
      </c>
      <c r="B1" s="18" t="s">
        <v>40</v>
      </c>
      <c r="C1" s="18" t="s">
        <v>41</v>
      </c>
      <c r="D1" s="18" t="s">
        <v>42</v>
      </c>
      <c r="E1" s="18" t="s">
        <v>43</v>
      </c>
      <c r="F1" s="18" t="s">
        <v>85</v>
      </c>
    </row>
    <row r="2" spans="1:6" s="17" customFormat="1" x14ac:dyDescent="0.35">
      <c r="A2" s="19" t="s">
        <v>52</v>
      </c>
      <c r="B2" s="20">
        <v>7399.81</v>
      </c>
      <c r="C2" s="20"/>
      <c r="D2" s="20"/>
      <c r="E2" s="20">
        <v>7399.81</v>
      </c>
      <c r="F2" s="27">
        <f>E2/E$35</f>
        <v>4.5507957458241273E-4</v>
      </c>
    </row>
    <row r="3" spans="1:6" s="17" customFormat="1" x14ac:dyDescent="0.35">
      <c r="A3" s="19" t="s">
        <v>53</v>
      </c>
      <c r="B3" s="20"/>
      <c r="C3" s="20"/>
      <c r="D3" s="20">
        <v>25704</v>
      </c>
      <c r="E3" s="20">
        <v>25704</v>
      </c>
      <c r="F3" s="27">
        <f t="shared" ref="F3:F34" si="0">E3/E$35</f>
        <v>1.5807656392618644E-3</v>
      </c>
    </row>
    <row r="4" spans="1:6" s="17" customFormat="1" x14ac:dyDescent="0.35">
      <c r="A4" s="19" t="s">
        <v>54</v>
      </c>
      <c r="B4" s="20">
        <v>92112</v>
      </c>
      <c r="C4" s="20"/>
      <c r="D4" s="20"/>
      <c r="E4" s="20">
        <v>92112</v>
      </c>
      <c r="F4" s="27">
        <f t="shared" si="0"/>
        <v>5.664779200268007E-3</v>
      </c>
    </row>
    <row r="5" spans="1:6" s="17" customFormat="1" x14ac:dyDescent="0.35">
      <c r="A5" s="19" t="s">
        <v>55</v>
      </c>
      <c r="B5" s="20"/>
      <c r="C5" s="20"/>
      <c r="D5" s="20">
        <v>220973.62000000002</v>
      </c>
      <c r="E5" s="20">
        <v>220973.62000000002</v>
      </c>
      <c r="F5" s="27">
        <f t="shared" si="0"/>
        <v>1.3589616623066772E-2</v>
      </c>
    </row>
    <row r="6" spans="1:6" s="14" customFormat="1" x14ac:dyDescent="0.35">
      <c r="A6" s="19" t="s">
        <v>56</v>
      </c>
      <c r="B6" s="20">
        <v>3182</v>
      </c>
      <c r="C6" s="20"/>
      <c r="D6" s="20"/>
      <c r="E6" s="20">
        <v>3182</v>
      </c>
      <c r="F6" s="27">
        <f t="shared" si="0"/>
        <v>1.9568924152393605E-4</v>
      </c>
    </row>
    <row r="7" spans="1:6" s="14" customFormat="1" x14ac:dyDescent="0.35">
      <c r="A7" s="19" t="s">
        <v>57</v>
      </c>
      <c r="B7" s="20">
        <v>52574.52</v>
      </c>
      <c r="C7" s="20">
        <v>27192</v>
      </c>
      <c r="D7" s="20">
        <v>22660</v>
      </c>
      <c r="E7" s="20">
        <v>102426.51999999999</v>
      </c>
      <c r="F7" s="27">
        <f t="shared" si="0"/>
        <v>6.2991099970887065E-3</v>
      </c>
    </row>
    <row r="8" spans="1:6" x14ac:dyDescent="0.35">
      <c r="A8" s="19" t="s">
        <v>58</v>
      </c>
      <c r="B8" s="20">
        <v>775007.92</v>
      </c>
      <c r="C8" s="20">
        <v>1060526.2200000002</v>
      </c>
      <c r="D8" s="20">
        <v>737766.95</v>
      </c>
      <c r="E8" s="20">
        <v>2573301.09</v>
      </c>
      <c r="F8" s="27">
        <f t="shared" si="0"/>
        <v>0.1582549775345122</v>
      </c>
    </row>
    <row r="9" spans="1:6" x14ac:dyDescent="0.35">
      <c r="A9" s="19" t="s">
        <v>59</v>
      </c>
      <c r="B9" s="20"/>
      <c r="C9" s="20">
        <v>136530</v>
      </c>
      <c r="D9" s="20">
        <v>120900</v>
      </c>
      <c r="E9" s="20">
        <v>257430</v>
      </c>
      <c r="F9" s="27">
        <f t="shared" si="0"/>
        <v>1.5831640931963185E-2</v>
      </c>
    </row>
    <row r="10" spans="1:6" x14ac:dyDescent="0.35">
      <c r="A10" s="19" t="s">
        <v>60</v>
      </c>
      <c r="B10" s="20"/>
      <c r="C10" s="20">
        <v>88764.479999999996</v>
      </c>
      <c r="D10" s="20">
        <v>71122.039999999994</v>
      </c>
      <c r="E10" s="20">
        <v>159886.51999999999</v>
      </c>
      <c r="F10" s="27">
        <f t="shared" si="0"/>
        <v>9.8328321271846739E-3</v>
      </c>
    </row>
    <row r="11" spans="1:6" x14ac:dyDescent="0.35">
      <c r="A11" s="19" t="s">
        <v>61</v>
      </c>
      <c r="B11" s="20">
        <v>87585.75</v>
      </c>
      <c r="C11" s="20">
        <v>76074.25</v>
      </c>
      <c r="D11" s="20">
        <v>11750</v>
      </c>
      <c r="E11" s="20">
        <v>175410</v>
      </c>
      <c r="F11" s="27">
        <f t="shared" si="0"/>
        <v>1.0787507811349347E-2</v>
      </c>
    </row>
    <row r="12" spans="1:6" x14ac:dyDescent="0.35">
      <c r="A12" s="19" t="s">
        <v>62</v>
      </c>
      <c r="B12" s="20"/>
      <c r="C12" s="20"/>
      <c r="D12" s="20">
        <v>57650.64</v>
      </c>
      <c r="E12" s="20">
        <v>57650.64</v>
      </c>
      <c r="F12" s="27">
        <f t="shared" si="0"/>
        <v>3.5454462649181298E-3</v>
      </c>
    </row>
    <row r="13" spans="1:6" x14ac:dyDescent="0.35">
      <c r="A13" s="19" t="s">
        <v>63</v>
      </c>
      <c r="B13" s="20"/>
      <c r="C13" s="20"/>
      <c r="D13" s="20">
        <v>23333</v>
      </c>
      <c r="E13" s="20">
        <v>23333</v>
      </c>
      <c r="F13" s="27">
        <f t="shared" si="0"/>
        <v>1.4349519398108108E-3</v>
      </c>
    </row>
    <row r="14" spans="1:6" x14ac:dyDescent="0.35">
      <c r="A14" s="19" t="s">
        <v>64</v>
      </c>
      <c r="B14" s="20"/>
      <c r="C14" s="20">
        <v>25092</v>
      </c>
      <c r="D14" s="20"/>
      <c r="E14" s="20">
        <v>25092</v>
      </c>
      <c r="F14" s="27">
        <f t="shared" si="0"/>
        <v>1.5431283621365817E-3</v>
      </c>
    </row>
    <row r="15" spans="1:6" x14ac:dyDescent="0.35">
      <c r="A15" s="19" t="s">
        <v>65</v>
      </c>
      <c r="B15" s="20">
        <v>50845.41</v>
      </c>
      <c r="C15" s="20"/>
      <c r="D15" s="20">
        <v>130901.94</v>
      </c>
      <c r="E15" s="20">
        <v>181747.35</v>
      </c>
      <c r="F15" s="27">
        <f t="shared" si="0"/>
        <v>1.1177247350875342E-2</v>
      </c>
    </row>
    <row r="16" spans="1:6" x14ac:dyDescent="0.35">
      <c r="A16" s="19" t="s">
        <v>66</v>
      </c>
      <c r="B16" s="20">
        <v>17780</v>
      </c>
      <c r="C16" s="20">
        <v>215752.5</v>
      </c>
      <c r="D16" s="20">
        <v>11328.4</v>
      </c>
      <c r="E16" s="20">
        <v>244860.9</v>
      </c>
      <c r="F16" s="27">
        <f t="shared" si="0"/>
        <v>1.5058656128179871E-2</v>
      </c>
    </row>
    <row r="17" spans="1:6" x14ac:dyDescent="0.35">
      <c r="A17" s="19" t="s">
        <v>67</v>
      </c>
      <c r="B17" s="20">
        <v>142295</v>
      </c>
      <c r="C17" s="20"/>
      <c r="D17" s="20"/>
      <c r="E17" s="20">
        <v>142295</v>
      </c>
      <c r="F17" s="27">
        <f t="shared" si="0"/>
        <v>8.7509744257223375E-3</v>
      </c>
    </row>
    <row r="18" spans="1:6" x14ac:dyDescent="0.35">
      <c r="A18" s="19" t="s">
        <v>68</v>
      </c>
      <c r="B18" s="20"/>
      <c r="C18" s="20">
        <v>23837</v>
      </c>
      <c r="D18" s="20"/>
      <c r="E18" s="20">
        <v>23837</v>
      </c>
      <c r="F18" s="27">
        <f t="shared" si="0"/>
        <v>1.4659473445022199E-3</v>
      </c>
    </row>
    <row r="19" spans="1:6" x14ac:dyDescent="0.35">
      <c r="A19" s="19" t="s">
        <v>69</v>
      </c>
      <c r="B19" s="20"/>
      <c r="C19" s="20">
        <v>20315.879999999997</v>
      </c>
      <c r="D19" s="20"/>
      <c r="E19" s="20">
        <v>20315.879999999997</v>
      </c>
      <c r="F19" s="27">
        <f t="shared" si="0"/>
        <v>1.2494026235359212E-3</v>
      </c>
    </row>
    <row r="20" spans="1:6" x14ac:dyDescent="0.35">
      <c r="A20" s="19" t="s">
        <v>70</v>
      </c>
      <c r="B20" s="20">
        <v>1822837.53</v>
      </c>
      <c r="C20" s="20">
        <v>1888631.24</v>
      </c>
      <c r="D20" s="20">
        <v>2165736.98</v>
      </c>
      <c r="E20" s="20">
        <v>5877205.75</v>
      </c>
      <c r="F20" s="27">
        <f t="shared" si="0"/>
        <v>0.36144121165858445</v>
      </c>
    </row>
    <row r="21" spans="1:6" x14ac:dyDescent="0.35">
      <c r="A21" s="19" t="s">
        <v>71</v>
      </c>
      <c r="B21" s="20">
        <v>9530.4</v>
      </c>
      <c r="C21" s="20"/>
      <c r="D21" s="20"/>
      <c r="E21" s="20">
        <v>9530.4</v>
      </c>
      <c r="F21" s="27">
        <f t="shared" si="0"/>
        <v>5.8610834299802647E-4</v>
      </c>
    </row>
    <row r="22" spans="1:6" x14ac:dyDescent="0.35">
      <c r="A22" s="19" t="s">
        <v>72</v>
      </c>
      <c r="B22" s="20">
        <v>203050</v>
      </c>
      <c r="C22" s="20"/>
      <c r="D22" s="20"/>
      <c r="E22" s="20">
        <v>203050</v>
      </c>
      <c r="F22" s="27">
        <f t="shared" si="0"/>
        <v>1.2487335163870275E-2</v>
      </c>
    </row>
    <row r="23" spans="1:6" x14ac:dyDescent="0.35">
      <c r="A23" s="19" t="s">
        <v>73</v>
      </c>
      <c r="B23" s="20"/>
      <c r="C23" s="20">
        <v>130604.81999999999</v>
      </c>
      <c r="D23" s="20"/>
      <c r="E23" s="20">
        <v>130604.81999999999</v>
      </c>
      <c r="F23" s="27">
        <f t="shared" si="0"/>
        <v>8.0320421637869871E-3</v>
      </c>
    </row>
    <row r="24" spans="1:6" x14ac:dyDescent="0.35">
      <c r="A24" s="19" t="s">
        <v>74</v>
      </c>
      <c r="B24" s="20"/>
      <c r="C24" s="20">
        <v>287605.5</v>
      </c>
      <c r="D24" s="20">
        <v>245960</v>
      </c>
      <c r="E24" s="20">
        <v>533565.5</v>
      </c>
      <c r="F24" s="27">
        <f t="shared" si="0"/>
        <v>3.2813648019591357E-2</v>
      </c>
    </row>
    <row r="25" spans="1:6" x14ac:dyDescent="0.35">
      <c r="A25" s="19" t="s">
        <v>75</v>
      </c>
      <c r="B25" s="20"/>
      <c r="C25" s="20">
        <v>75276</v>
      </c>
      <c r="D25" s="20">
        <v>51561</v>
      </c>
      <c r="E25" s="20">
        <v>126837</v>
      </c>
      <c r="F25" s="27">
        <f t="shared" si="0"/>
        <v>7.8003256842147945E-3</v>
      </c>
    </row>
    <row r="26" spans="1:6" x14ac:dyDescent="0.35">
      <c r="A26" s="19" t="s">
        <v>76</v>
      </c>
      <c r="B26" s="20"/>
      <c r="C26" s="20">
        <v>22848.6</v>
      </c>
      <c r="D26" s="20"/>
      <c r="E26" s="20">
        <v>22848.6</v>
      </c>
      <c r="F26" s="27">
        <f t="shared" si="0"/>
        <v>1.405161911968512E-3</v>
      </c>
    </row>
    <row r="27" spans="1:6" x14ac:dyDescent="0.35">
      <c r="A27" s="19" t="s">
        <v>77</v>
      </c>
      <c r="B27" s="20"/>
      <c r="C27" s="20">
        <v>642771.94000000006</v>
      </c>
      <c r="D27" s="20">
        <v>124570.13999999998</v>
      </c>
      <c r="E27" s="20">
        <v>767342.08000000007</v>
      </c>
      <c r="F27" s="27">
        <f t="shared" si="0"/>
        <v>4.7190631560213539E-2</v>
      </c>
    </row>
    <row r="28" spans="1:6" x14ac:dyDescent="0.35">
      <c r="A28" s="19" t="s">
        <v>78</v>
      </c>
      <c r="B28" s="20"/>
      <c r="C28" s="20">
        <v>95025</v>
      </c>
      <c r="D28" s="20">
        <v>69400.5</v>
      </c>
      <c r="E28" s="20">
        <v>164425.5</v>
      </c>
      <c r="F28" s="27">
        <f t="shared" si="0"/>
        <v>1.0111974035887476E-2</v>
      </c>
    </row>
    <row r="29" spans="1:6" x14ac:dyDescent="0.35">
      <c r="A29" s="19" t="s">
        <v>79</v>
      </c>
      <c r="B29" s="20"/>
      <c r="C29" s="20">
        <v>58011.75</v>
      </c>
      <c r="D29" s="20"/>
      <c r="E29" s="20">
        <v>58011.75</v>
      </c>
      <c r="F29" s="27">
        <f t="shared" si="0"/>
        <v>3.5676541033866113E-3</v>
      </c>
    </row>
    <row r="30" spans="1:6" x14ac:dyDescent="0.35">
      <c r="A30" s="19" t="s">
        <v>80</v>
      </c>
      <c r="B30" s="20">
        <v>23244</v>
      </c>
      <c r="C30" s="20"/>
      <c r="D30" s="20"/>
      <c r="E30" s="20">
        <v>23244</v>
      </c>
      <c r="F30" s="27">
        <f t="shared" si="0"/>
        <v>1.4294785449347485E-3</v>
      </c>
    </row>
    <row r="31" spans="1:6" x14ac:dyDescent="0.35">
      <c r="A31" s="19" t="s">
        <v>81</v>
      </c>
      <c r="B31" s="20">
        <v>207904</v>
      </c>
      <c r="C31" s="20"/>
      <c r="D31" s="20"/>
      <c r="E31" s="20">
        <v>207904</v>
      </c>
      <c r="F31" s="27">
        <f t="shared" si="0"/>
        <v>1.2785850430481584E-2</v>
      </c>
    </row>
    <row r="32" spans="1:6" x14ac:dyDescent="0.35">
      <c r="A32" s="19" t="s">
        <v>82</v>
      </c>
      <c r="B32" s="20">
        <v>88704</v>
      </c>
      <c r="C32" s="20"/>
      <c r="D32" s="20">
        <v>129360</v>
      </c>
      <c r="E32" s="20">
        <v>218064</v>
      </c>
      <c r="F32" s="27">
        <f t="shared" si="0"/>
        <v>1.3410678429816339E-2</v>
      </c>
    </row>
    <row r="33" spans="1:6" x14ac:dyDescent="0.35">
      <c r="A33" s="19" t="s">
        <v>83</v>
      </c>
      <c r="B33" s="20">
        <v>3554568.17</v>
      </c>
      <c r="C33" s="20"/>
      <c r="D33" s="20"/>
      <c r="E33" s="20">
        <v>3554568.17</v>
      </c>
      <c r="F33" s="27">
        <f t="shared" si="0"/>
        <v>0.21860174391339579</v>
      </c>
    </row>
    <row r="34" spans="1:6" x14ac:dyDescent="0.35">
      <c r="A34" s="19" t="s">
        <v>84</v>
      </c>
      <c r="B34" s="20"/>
      <c r="C34" s="20">
        <v>26316</v>
      </c>
      <c r="D34" s="20"/>
      <c r="E34" s="20">
        <v>26316</v>
      </c>
      <c r="F34" s="27">
        <f t="shared" si="0"/>
        <v>1.6184029163871468E-3</v>
      </c>
    </row>
    <row r="35" spans="1:6" x14ac:dyDescent="0.35">
      <c r="A35" s="25" t="s">
        <v>43</v>
      </c>
      <c r="B35" s="26">
        <v>7138620.5099999998</v>
      </c>
      <c r="C35" s="26">
        <v>4901175.1800000006</v>
      </c>
      <c r="D35" s="26">
        <v>4220679.209999999</v>
      </c>
      <c r="E35" s="26">
        <v>16260474.9</v>
      </c>
    </row>
    <row r="36" spans="1:6" s="15" customFormat="1" x14ac:dyDescent="0.35">
      <c r="A36" s="21"/>
      <c r="B36" s="22"/>
      <c r="C36" s="22"/>
      <c r="D36" s="22"/>
      <c r="E36" s="22"/>
    </row>
    <row r="37" spans="1:6" s="15" customFormat="1" x14ac:dyDescent="0.35">
      <c r="A37" s="21"/>
      <c r="B37" s="22"/>
      <c r="C37" s="22"/>
      <c r="D37" s="22"/>
      <c r="E37" s="22"/>
    </row>
    <row r="38" spans="1:6" s="16" customFormat="1" ht="18.5" customHeight="1" x14ac:dyDescent="0.35">
      <c r="A38" s="10" t="s">
        <v>5</v>
      </c>
      <c r="B38" s="11">
        <v>16</v>
      </c>
      <c r="C38" s="11">
        <v>18</v>
      </c>
      <c r="D38" s="11">
        <v>17</v>
      </c>
      <c r="E38" s="12">
        <v>33</v>
      </c>
    </row>
    <row r="39" spans="1:6" s="16" customFormat="1" ht="18.5" customHeight="1" x14ac:dyDescent="0.35">
      <c r="A39" s="10" t="s">
        <v>36</v>
      </c>
      <c r="B39" s="11">
        <v>3</v>
      </c>
      <c r="C39" s="11">
        <v>33</v>
      </c>
      <c r="D39" s="11">
        <v>25</v>
      </c>
      <c r="E39" s="11"/>
    </row>
    <row r="40" spans="1:6" s="16" customFormat="1" x14ac:dyDescent="0.35">
      <c r="A40" s="10" t="s">
        <v>34</v>
      </c>
      <c r="B40" s="11"/>
      <c r="C40" s="11"/>
      <c r="D40" s="11"/>
      <c r="E40" s="12"/>
    </row>
    <row r="41" spans="1:6" s="16" customFormat="1" x14ac:dyDescent="0.35">
      <c r="A41" s="10" t="s">
        <v>35</v>
      </c>
      <c r="B41" s="11"/>
      <c r="C41" s="11"/>
      <c r="D41" s="11"/>
      <c r="E41" s="12"/>
    </row>
  </sheetData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B4" sqref="B4"/>
    </sheetView>
  </sheetViews>
  <sheetFormatPr defaultRowHeight="14.5" x14ac:dyDescent="0.35"/>
  <cols>
    <col min="1" max="10" width="20" customWidth="1"/>
  </cols>
  <sheetData>
    <row r="1" spans="1:10" ht="21" x14ac:dyDescent="0.5">
      <c r="A1" s="30" t="s">
        <v>7</v>
      </c>
      <c r="B1" s="31"/>
      <c r="C1" s="31"/>
      <c r="D1" s="31"/>
      <c r="E1" s="31"/>
      <c r="F1" s="31"/>
      <c r="G1" s="31"/>
      <c r="H1" s="31"/>
      <c r="I1" s="31"/>
      <c r="J1" s="31"/>
    </row>
    <row r="3" spans="1:10" x14ac:dyDescent="0.35">
      <c r="A3" s="1" t="s">
        <v>8</v>
      </c>
      <c r="B3" s="1" t="s">
        <v>14</v>
      </c>
      <c r="C3" s="1" t="s">
        <v>15</v>
      </c>
      <c r="D3" s="1"/>
      <c r="E3" s="1" t="s">
        <v>16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</row>
    <row r="4" spans="1:10" x14ac:dyDescent="0.35">
      <c r="A4" s="2" t="s">
        <v>17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 t="s">
        <v>18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35">
      <c r="A6" s="2" t="s">
        <v>19</v>
      </c>
      <c r="B6" s="2"/>
      <c r="C6" s="2"/>
      <c r="D6" s="2"/>
      <c r="E6" s="2"/>
      <c r="F6" s="2"/>
      <c r="G6" s="2"/>
      <c r="H6" s="2"/>
      <c r="I6" s="2"/>
      <c r="J6" s="2"/>
    </row>
    <row r="7" spans="1:10" x14ac:dyDescent="0.35">
      <c r="A7" s="2" t="s">
        <v>20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35">
      <c r="A8" s="2" t="s">
        <v>21</v>
      </c>
      <c r="B8" s="2"/>
      <c r="C8" s="2"/>
      <c r="D8" s="2"/>
      <c r="E8" s="2"/>
      <c r="F8" s="2"/>
      <c r="G8" s="2"/>
      <c r="H8" s="2"/>
      <c r="I8" s="2"/>
      <c r="J8" s="2"/>
    </row>
    <row r="9" spans="1:10" x14ac:dyDescent="0.35">
      <c r="A9" s="2" t="s">
        <v>22</v>
      </c>
      <c r="B9" s="2"/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 t="s">
        <v>24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 t="s">
        <v>23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 t="s">
        <v>25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 t="s">
        <v>26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 t="s">
        <v>27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 t="s">
        <v>28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4" t="s">
        <v>29</v>
      </c>
    </row>
  </sheetData>
  <mergeCells count="1">
    <mergeCell ref="A1:J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 Summary</vt:lpstr>
      <vt:lpstr>Customerwise Sales</vt:lpstr>
      <vt:lpstr>Planning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meghran</dc:creator>
  <cp:lastModifiedBy>Hitesh Jain</cp:lastModifiedBy>
  <cp:lastPrinted>2026-07-13T12:02:07Z</cp:lastPrinted>
  <dcterms:created xsi:type="dcterms:W3CDTF">2026-07-03T03:50:45Z</dcterms:created>
  <dcterms:modified xsi:type="dcterms:W3CDTF">2026-07-14T15:15:21Z</dcterms:modified>
</cp:coreProperties>
</file>