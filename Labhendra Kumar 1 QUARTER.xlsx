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tesh old laptop d drive\hitesh jain\d\old com data\d\MY DOCUMENTS\PROJECT LIST\AMAZING MEDIA\SALES REPORT 2026-2027\1ST QUARTER\"/>
    </mc:Choice>
  </mc:AlternateContent>
  <bookViews>
    <workbookView xWindow="0" yWindow="0" windowWidth="19200" windowHeight="7190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Sales'!$A$6:$E$28</definedName>
  </definedNames>
  <calcPr calcId="152511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E11" i="1"/>
  <c r="E13" i="1"/>
  <c r="E25" i="4"/>
  <c r="D25" i="4"/>
  <c r="C25" i="4"/>
  <c r="B25" i="4"/>
  <c r="E7" i="1"/>
  <c r="E4" i="1"/>
  <c r="E12" i="1" l="1"/>
  <c r="E17" i="1" l="1"/>
  <c r="E8" i="1" l="1"/>
  <c r="E14" i="1" l="1"/>
  <c r="E6" i="1"/>
  <c r="E5" i="1"/>
</calcChain>
</file>

<file path=xl/sharedStrings.xml><?xml version="1.0" encoding="utf-8"?>
<sst xmlns="http://schemas.openxmlformats.org/spreadsheetml/2006/main" count="72" uniqueCount="71">
  <si>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</si>
  <si>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</si>
  <si>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</si>
  <si>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</si>
  <si>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</si>
  <si>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</si>
  <si>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</si>
  <si>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</si>
  <si>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</si>
  <si>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</si>
  <si>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</si>
  <si>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</si>
  <si>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</si>
  <si>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</si>
  <si>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</si>
  <si>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</si>
  <si>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</si>
  <si>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</si>
  <si>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</si>
  <si>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</si>
  <si>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</si>
  <si>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</si>
  <si>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</si>
  <si>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</si>
  <si>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</si>
  <si>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</si>
  <si>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</si>
  <si>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</si>
  <si>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</si>
  <si>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</si>
  <si>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</si>
  <si>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</si>
  <si>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</si>
  <si>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</si>
  <si>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</si>
  <si>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</si>
  <si>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</si>
  <si>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</si>
  <si>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</si>
  <si>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</si>
  <si>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</si>
  <si>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</si>
  <si>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>Row Labels</t>
  </si>
  <si>
    <t>Average Debtor (Closing Debtor+Opning Debtor)/2</t>
  </si>
  <si>
    <t>Sara Print / Amazing Media  (ST)</t>
  </si>
  <si>
    <t>Sara Lam / Amazing Media  (KG.)</t>
  </si>
  <si>
    <t>Self Adhesive (AMS)  (ST)</t>
  </si>
  <si>
    <t>Artica (KG.)</t>
  </si>
  <si>
    <t>CREATIVE SOLUTION PROP KAMLESH KUMAR</t>
  </si>
  <si>
    <t>GUPTA PRINTING SOLUTION PROP.SONI GUPTA</t>
  </si>
  <si>
    <t>IMAGE PHOTO BOOK PROP VIJAY KUMAR SINHA</t>
  </si>
  <si>
    <t>KALAKAR DIGITAL COLOR LAB PROP KANCHAN KUMARI</t>
  </si>
  <si>
    <t>KING MUSKAN VIDEO LAB</t>
  </si>
  <si>
    <t>MADHUBAN DIGITAL LAB PROP.VIVEKA NAND</t>
  </si>
  <si>
    <t>NAMRATA ENTERPRISES PROP.CHANDA KUMARI</t>
  </si>
  <si>
    <t>NEW BHADANI ALBUMS PROP REKHA DEVI</t>
  </si>
  <si>
    <t>NEW RAJDHANI AGENCY (PATNA)</t>
  </si>
  <si>
    <t>PRINT PRIME PROP PAWAN KUMAR</t>
  </si>
  <si>
    <t>PUJA PRINTECH PVT LTD</t>
  </si>
  <si>
    <t>R.M. SALES PROP.RAMESH KUMAR PODDAR</t>
  </si>
  <si>
    <t>RADHE PRINT EXPRESS PROP.NIRMAL KUMAR</t>
  </si>
  <si>
    <t>RAJ LAXMI COLOUR LAB PROP RANJEET KUMAR DAS</t>
  </si>
  <si>
    <t>SHREYA COLOR LAB PROP POONAM DEVI</t>
  </si>
  <si>
    <t>STUDIOSYNC PROP SARITA DEVI</t>
  </si>
  <si>
    <t>SUDARSHAN DIGITAL PRESS</t>
  </si>
  <si>
    <t>THE EBONY PROP SOUMITRA KUMAR GHOSE</t>
  </si>
  <si>
    <t>TRILOK MULTIMEDIA ENTERPRISES</t>
  </si>
  <si>
    <t>UTSAV COLOUR LAB &amp; STUDIO PROP ARUN KUMAR</t>
  </si>
  <si>
    <t>Percentage</t>
  </si>
  <si>
    <t>Labhendra Kumar Template - Business at a Glance (Quarter 1)</t>
  </si>
  <si>
    <t>Cosmo Thermal Lamination/ Amazing Media  (Kgs)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</si>
</sst>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2" xfId="0" applyBorder="1"/>
    <xf numFmtId="43" fontId="0" fillId="0" borderId="2" xfId="1" applyFont="1" applyBorder="1"/>
    <xf numFmtId="43" fontId="6" fillId="0" borderId="2" xfId="1" applyFont="1" applyBorder="1"/>
    <xf numFmtId="43" fontId="6" fillId="0" borderId="2" xfId="1" applyFont="1" applyBorder="1" applyAlignment="1">
      <alignment vertical="center"/>
    </xf>
    <xf numFmtId="0" fontId="0" fillId="3" borderId="2" xfId="0" applyFill="1" applyBorder="1"/>
    <xf numFmtId="43" fontId="0" fillId="3" borderId="2" xfId="1" applyFont="1" applyFill="1" applyBorder="1"/>
    <xf numFmtId="43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6" fillId="4" borderId="2" xfId="0" applyFont="1" applyFill="1" applyBorder="1" applyAlignment="1">
      <alignment horizontal="left"/>
    </xf>
    <xf numFmtId="0" fontId="6" fillId="4" borderId="2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10" fontId="0" fillId="0" borderId="2" xfId="2" applyNumberFormat="1" applyFont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sqref="A1:E1"/>
    </sheetView>
  </sheetViews>
  <sheetFormatPr defaultRowHeight="18.5" customHeight="1" x14ac:dyDescent="0.35"/>
  <cols>
    <col min="1" max="1" width="52.54296875" customWidth="1"/>
    <col min="2" max="3" width="14.08984375" customWidth="1"/>
    <col min="4" max="4" width="15.08984375" bestFit="1" customWidth="1"/>
    <col min="5" max="5" width="15.6328125" customWidth="1"/>
  </cols>
  <sheetData>
    <row r="1" spans="1:5" s="13" customFormat="1" ht="26.4" customHeight="1" x14ac:dyDescent="0.35">
      <c r="A1" s="27" t="s">
        <v>69</v>
      </c>
      <c r="B1" s="28"/>
      <c r="C1" s="28"/>
      <c r="D1" s="28"/>
      <c r="E1" s="28"/>
    </row>
    <row r="2" spans="1:5" ht="10.25" customHeight="1" x14ac:dyDescent="0.35">
      <c r="A2" s="5"/>
      <c r="B2" s="5"/>
      <c r="C2" s="5"/>
      <c r="D2" s="5"/>
      <c r="E2" s="5"/>
    </row>
    <row r="3" spans="1:5" s="13" customFormat="1" ht="21.65" customHeight="1" x14ac:dyDescent="0.3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</row>
    <row r="4" spans="1:5" s="25" customFormat="1" ht="18.5" customHeight="1" x14ac:dyDescent="0.35">
      <c r="A4" s="5" t="s">
        <v>44</v>
      </c>
      <c r="B4" s="6">
        <v>294400</v>
      </c>
      <c r="C4" s="6">
        <v>125200</v>
      </c>
      <c r="D4" s="6">
        <v>399400</v>
      </c>
      <c r="E4" s="7">
        <f t="shared" ref="E4:E8" si="0">SUM(B4:D4)</f>
        <v>819000</v>
      </c>
    </row>
    <row r="5" spans="1:5" ht="18.5" customHeight="1" x14ac:dyDescent="0.35">
      <c r="A5" s="5" t="s">
        <v>45</v>
      </c>
      <c r="B5" s="6">
        <v>3365.5</v>
      </c>
      <c r="C5" s="6">
        <v>12550.25</v>
      </c>
      <c r="D5" s="6">
        <v>1932.62</v>
      </c>
      <c r="E5" s="7">
        <f t="shared" si="0"/>
        <v>17848.37</v>
      </c>
    </row>
    <row r="6" spans="1:5" ht="18.5" customHeight="1" x14ac:dyDescent="0.35">
      <c r="A6" s="5" t="s">
        <v>70</v>
      </c>
      <c r="B6" s="6">
        <v>0</v>
      </c>
      <c r="C6" s="6">
        <v>0</v>
      </c>
      <c r="D6" s="6">
        <v>68.7</v>
      </c>
      <c r="E6" s="7">
        <f t="shared" si="0"/>
        <v>68.7</v>
      </c>
    </row>
    <row r="7" spans="1:5" s="25" customFormat="1" ht="18.5" customHeight="1" x14ac:dyDescent="0.35">
      <c r="A7" s="5" t="s">
        <v>46</v>
      </c>
      <c r="B7" s="6">
        <v>0</v>
      </c>
      <c r="C7" s="6">
        <v>0</v>
      </c>
      <c r="D7" s="6">
        <v>2000</v>
      </c>
      <c r="E7" s="7">
        <f t="shared" si="0"/>
        <v>2000</v>
      </c>
    </row>
    <row r="8" spans="1:5" ht="18.5" customHeight="1" x14ac:dyDescent="0.35">
      <c r="A8" s="5" t="s">
        <v>47</v>
      </c>
      <c r="B8" s="6">
        <v>3279</v>
      </c>
      <c r="C8" s="6">
        <v>2349.7999999999997</v>
      </c>
      <c r="D8" s="6">
        <v>2241.48</v>
      </c>
      <c r="E8" s="8">
        <f t="shared" si="0"/>
        <v>7870.2799999999988</v>
      </c>
    </row>
    <row r="9" spans="1:5" ht="18.5" customHeight="1" x14ac:dyDescent="0.35">
      <c r="A9" s="5"/>
      <c r="B9" s="6"/>
      <c r="C9" s="6"/>
      <c r="D9" s="6"/>
      <c r="E9" s="6"/>
    </row>
    <row r="10" spans="1:5" ht="18.5" customHeight="1" x14ac:dyDescent="0.35">
      <c r="A10" s="5"/>
      <c r="B10" s="6"/>
      <c r="C10" s="6"/>
      <c r="D10" s="6"/>
      <c r="E10" s="6"/>
    </row>
    <row r="11" spans="1:5" ht="18.5" customHeight="1" x14ac:dyDescent="0.35">
      <c r="A11" s="9" t="s">
        <v>30</v>
      </c>
      <c r="B11" s="10">
        <v>4794978.5999999996</v>
      </c>
      <c r="C11" s="10">
        <v>4485362.93</v>
      </c>
      <c r="D11" s="10">
        <v>5456768.1399999997</v>
      </c>
      <c r="E11" s="11">
        <f>SUM(B11:D11)</f>
        <v>14737109.669999998</v>
      </c>
    </row>
    <row r="12" spans="1:5" ht="18.5" customHeight="1" x14ac:dyDescent="0.35">
      <c r="A12" s="9" t="s">
        <v>6</v>
      </c>
      <c r="B12" s="10">
        <v>8822024.8000000007</v>
      </c>
      <c r="C12" s="10">
        <v>5105504</v>
      </c>
      <c r="D12" s="10">
        <v>7697122</v>
      </c>
      <c r="E12" s="11">
        <f>SUM(B12:D12)</f>
        <v>21624650.800000001</v>
      </c>
    </row>
    <row r="13" spans="1:5" s="3" customFormat="1" ht="18.5" customHeight="1" x14ac:dyDescent="0.35">
      <c r="A13" s="9" t="s">
        <v>43</v>
      </c>
      <c r="B13" s="10"/>
      <c r="C13" s="10"/>
      <c r="D13" s="10"/>
      <c r="E13" s="11">
        <f>(11417429+11962379)/2</f>
        <v>11689904</v>
      </c>
    </row>
    <row r="14" spans="1:5" s="3" customFormat="1" ht="18.5" customHeight="1" x14ac:dyDescent="0.35">
      <c r="A14" s="9" t="s">
        <v>35</v>
      </c>
      <c r="B14" s="10"/>
      <c r="C14" s="10"/>
      <c r="D14" s="10"/>
      <c r="E14" s="11">
        <f>E13/E11*90</f>
        <v>71.390617533485468</v>
      </c>
    </row>
    <row r="15" spans="1:5" s="3" customFormat="1" ht="18.5" customHeight="1" x14ac:dyDescent="0.35">
      <c r="A15" s="9" t="s">
        <v>36</v>
      </c>
      <c r="B15" s="10"/>
      <c r="C15" s="10"/>
      <c r="D15" s="10"/>
      <c r="E15" s="11">
        <v>3179708</v>
      </c>
    </row>
    <row r="16" spans="1:5" s="3" customFormat="1" ht="18.5" customHeight="1" x14ac:dyDescent="0.35">
      <c r="A16" s="9" t="s">
        <v>37</v>
      </c>
      <c r="B16" s="10"/>
      <c r="C16" s="10"/>
      <c r="D16" s="10"/>
      <c r="E16" s="11">
        <v>7963243</v>
      </c>
    </row>
    <row r="17" spans="1:5" ht="18.5" customHeight="1" x14ac:dyDescent="0.35">
      <c r="A17" s="9" t="s">
        <v>31</v>
      </c>
      <c r="B17" s="10"/>
      <c r="C17" s="10"/>
      <c r="D17" s="10"/>
      <c r="E17" s="12">
        <f>E15/E16</f>
        <v>0.3992981251482593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7" workbookViewId="0">
      <selection activeCell="B30" sqref="B30"/>
    </sheetView>
  </sheetViews>
  <sheetFormatPr defaultColWidth="8.81640625" defaultRowHeight="14.5" x14ac:dyDescent="0.35"/>
  <cols>
    <col min="1" max="1" width="46.90625" style="3" customWidth="1"/>
    <col min="2" max="2" width="10" style="3" customWidth="1"/>
    <col min="3" max="4" width="11" style="3" customWidth="1"/>
    <col min="5" max="5" width="12" style="3" customWidth="1"/>
    <col min="6" max="6" width="10.453125" style="3" bestFit="1" customWidth="1"/>
    <col min="7" max="16384" width="8.81640625" style="3"/>
  </cols>
  <sheetData>
    <row r="1" spans="1:6" s="16" customFormat="1" x14ac:dyDescent="0.35">
      <c r="A1" s="17" t="s">
        <v>42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68</v>
      </c>
    </row>
    <row r="2" spans="1:6" s="16" customFormat="1" x14ac:dyDescent="0.35">
      <c r="A2" s="18" t="s">
        <v>48</v>
      </c>
      <c r="B2" s="19">
        <v>537792.6</v>
      </c>
      <c r="C2" s="19">
        <v>140192</v>
      </c>
      <c r="D2" s="19">
        <v>414846</v>
      </c>
      <c r="E2" s="19">
        <v>1092830.6000000001</v>
      </c>
      <c r="F2" s="26">
        <f>E2/E$22</f>
        <v>7.4155015771148844E-2</v>
      </c>
    </row>
    <row r="3" spans="1:6" s="16" customFormat="1" x14ac:dyDescent="0.35">
      <c r="A3" s="18" t="s">
        <v>49</v>
      </c>
      <c r="B3" s="19">
        <v>84080</v>
      </c>
      <c r="C3" s="19"/>
      <c r="D3" s="19">
        <v>199523.04</v>
      </c>
      <c r="E3" s="19">
        <v>283603.04000000004</v>
      </c>
      <c r="F3" s="26">
        <f t="shared" ref="F3:F21" si="0">E3/E$22</f>
        <v>1.9244142599910505E-2</v>
      </c>
    </row>
    <row r="4" spans="1:6" s="16" customFormat="1" x14ac:dyDescent="0.35">
      <c r="A4" s="18" t="s">
        <v>50</v>
      </c>
      <c r="B4" s="19">
        <v>574238.4</v>
      </c>
      <c r="C4" s="19"/>
      <c r="D4" s="19"/>
      <c r="E4" s="19">
        <v>574238.4</v>
      </c>
      <c r="F4" s="26">
        <f t="shared" si="0"/>
        <v>3.8965469678831535E-2</v>
      </c>
    </row>
    <row r="5" spans="1:6" s="16" customFormat="1" x14ac:dyDescent="0.35">
      <c r="A5" s="18" t="s">
        <v>51</v>
      </c>
      <c r="B5" s="19">
        <v>109863.4</v>
      </c>
      <c r="C5" s="19"/>
      <c r="D5" s="19"/>
      <c r="E5" s="19">
        <v>109863.4</v>
      </c>
      <c r="F5" s="26">
        <f t="shared" si="0"/>
        <v>7.454881076419376E-3</v>
      </c>
    </row>
    <row r="6" spans="1:6" s="13" customFormat="1" x14ac:dyDescent="0.35">
      <c r="A6" s="18" t="s">
        <v>52</v>
      </c>
      <c r="B6" s="19">
        <v>291882.59999999998</v>
      </c>
      <c r="C6" s="19"/>
      <c r="D6" s="19">
        <v>132000</v>
      </c>
      <c r="E6" s="19">
        <v>423882.6</v>
      </c>
      <c r="F6" s="26">
        <f t="shared" si="0"/>
        <v>2.8762939917783756E-2</v>
      </c>
    </row>
    <row r="7" spans="1:6" s="13" customFormat="1" x14ac:dyDescent="0.35">
      <c r="A7" s="18" t="s">
        <v>53</v>
      </c>
      <c r="B7" s="19"/>
      <c r="C7" s="19"/>
      <c r="D7" s="19">
        <v>25996.799999999999</v>
      </c>
      <c r="E7" s="19">
        <v>25996.799999999999</v>
      </c>
      <c r="F7" s="26">
        <f t="shared" si="0"/>
        <v>1.7640365432660854E-3</v>
      </c>
    </row>
    <row r="8" spans="1:6" x14ac:dyDescent="0.35">
      <c r="A8" s="18" t="s">
        <v>54</v>
      </c>
      <c r="B8" s="19">
        <v>148400</v>
      </c>
      <c r="C8" s="19"/>
      <c r="D8" s="19">
        <v>221543.59999999998</v>
      </c>
      <c r="E8" s="19">
        <v>369943.6</v>
      </c>
      <c r="F8" s="26">
        <f t="shared" si="0"/>
        <v>2.5102859942277948E-2</v>
      </c>
    </row>
    <row r="9" spans="1:6" x14ac:dyDescent="0.35">
      <c r="A9" s="18" t="s">
        <v>55</v>
      </c>
      <c r="B9" s="19">
        <v>869207.6</v>
      </c>
      <c r="C9" s="19">
        <v>396500</v>
      </c>
      <c r="D9" s="19">
        <v>231155</v>
      </c>
      <c r="E9" s="19">
        <v>1496862.6</v>
      </c>
      <c r="F9" s="26">
        <f t="shared" si="0"/>
        <v>0.10157097514495189</v>
      </c>
    </row>
    <row r="10" spans="1:6" x14ac:dyDescent="0.35">
      <c r="A10" s="18" t="s">
        <v>56</v>
      </c>
      <c r="B10" s="19"/>
      <c r="C10" s="19">
        <v>61588.5</v>
      </c>
      <c r="D10" s="19"/>
      <c r="E10" s="19">
        <v>61588.5</v>
      </c>
      <c r="F10" s="26">
        <f t="shared" si="0"/>
        <v>4.1791437655766591E-3</v>
      </c>
    </row>
    <row r="11" spans="1:6" x14ac:dyDescent="0.35">
      <c r="A11" s="18" t="s">
        <v>57</v>
      </c>
      <c r="B11" s="19">
        <v>240100</v>
      </c>
      <c r="C11" s="19">
        <v>236889</v>
      </c>
      <c r="D11" s="19">
        <v>247502.4</v>
      </c>
      <c r="E11" s="19">
        <v>724491.4</v>
      </c>
      <c r="F11" s="26">
        <f t="shared" si="0"/>
        <v>4.9161023852243614E-2</v>
      </c>
    </row>
    <row r="12" spans="1:6" x14ac:dyDescent="0.35">
      <c r="A12" s="18" t="s">
        <v>58</v>
      </c>
      <c r="B12" s="19">
        <v>941060</v>
      </c>
      <c r="C12" s="19">
        <v>164640</v>
      </c>
      <c r="D12" s="19">
        <v>851692.5</v>
      </c>
      <c r="E12" s="19">
        <v>1957392.5</v>
      </c>
      <c r="F12" s="26">
        <f t="shared" si="0"/>
        <v>0.13282065098454277</v>
      </c>
    </row>
    <row r="13" spans="1:6" x14ac:dyDescent="0.35">
      <c r="A13" s="18" t="s">
        <v>59</v>
      </c>
      <c r="B13" s="19"/>
      <c r="C13" s="19">
        <v>2582178.0300000003</v>
      </c>
      <c r="D13" s="19">
        <v>722545</v>
      </c>
      <c r="E13" s="19">
        <v>3304723.0300000003</v>
      </c>
      <c r="F13" s="26">
        <f t="shared" si="0"/>
        <v>0.22424499131789391</v>
      </c>
    </row>
    <row r="14" spans="1:6" x14ac:dyDescent="0.35">
      <c r="A14" s="18" t="s">
        <v>60</v>
      </c>
      <c r="B14" s="19">
        <v>276363.40000000002</v>
      </c>
      <c r="C14" s="19">
        <v>178798.6</v>
      </c>
      <c r="D14" s="19">
        <v>212646.59999999998</v>
      </c>
      <c r="E14" s="19">
        <v>667808.6</v>
      </c>
      <c r="F14" s="26">
        <f t="shared" si="0"/>
        <v>4.5314760828539045E-2</v>
      </c>
    </row>
    <row r="15" spans="1:6" x14ac:dyDescent="0.35">
      <c r="A15" s="18" t="s">
        <v>61</v>
      </c>
      <c r="B15" s="19"/>
      <c r="C15" s="19">
        <v>177996.79999999999</v>
      </c>
      <c r="D15" s="19">
        <v>238750</v>
      </c>
      <c r="E15" s="19">
        <v>416746.8</v>
      </c>
      <c r="F15" s="26">
        <f t="shared" si="0"/>
        <v>2.8278733709118146E-2</v>
      </c>
    </row>
    <row r="16" spans="1:6" x14ac:dyDescent="0.35">
      <c r="A16" s="18" t="s">
        <v>62</v>
      </c>
      <c r="B16" s="19"/>
      <c r="C16" s="19"/>
      <c r="D16" s="19">
        <v>283750</v>
      </c>
      <c r="E16" s="19">
        <v>283750</v>
      </c>
      <c r="F16" s="26">
        <f t="shared" si="0"/>
        <v>1.9254114704569475E-2</v>
      </c>
    </row>
    <row r="17" spans="1:6" x14ac:dyDescent="0.35">
      <c r="A17" s="18" t="s">
        <v>63</v>
      </c>
      <c r="B17" s="19"/>
      <c r="C17" s="19">
        <v>138700</v>
      </c>
      <c r="D17" s="19">
        <v>360200</v>
      </c>
      <c r="E17" s="19">
        <v>498900</v>
      </c>
      <c r="F17" s="26">
        <f t="shared" si="0"/>
        <v>3.385331392461572E-2</v>
      </c>
    </row>
    <row r="18" spans="1:6" x14ac:dyDescent="0.35">
      <c r="A18" s="18" t="s">
        <v>64</v>
      </c>
      <c r="B18" s="19">
        <v>503590.60000000003</v>
      </c>
      <c r="C18" s="19"/>
      <c r="D18" s="19">
        <v>285000</v>
      </c>
      <c r="E18" s="19">
        <v>788590.60000000009</v>
      </c>
      <c r="F18" s="26">
        <f t="shared" si="0"/>
        <v>5.3510533453199179E-2</v>
      </c>
    </row>
    <row r="19" spans="1:6" x14ac:dyDescent="0.35">
      <c r="A19" s="18" t="s">
        <v>65</v>
      </c>
      <c r="B19" s="19">
        <v>218400</v>
      </c>
      <c r="C19" s="19">
        <v>156000</v>
      </c>
      <c r="D19" s="19">
        <v>156000</v>
      </c>
      <c r="E19" s="19">
        <v>530400</v>
      </c>
      <c r="F19" s="26">
        <f t="shared" si="0"/>
        <v>3.5990775116488634E-2</v>
      </c>
    </row>
    <row r="20" spans="1:6" x14ac:dyDescent="0.35">
      <c r="A20" s="18" t="s">
        <v>66</v>
      </c>
      <c r="B20" s="19"/>
      <c r="C20" s="19"/>
      <c r="D20" s="19">
        <v>250000</v>
      </c>
      <c r="E20" s="19">
        <v>250000</v>
      </c>
      <c r="F20" s="26">
        <f t="shared" si="0"/>
        <v>1.6963977713277071E-2</v>
      </c>
    </row>
    <row r="21" spans="1:6" x14ac:dyDescent="0.35">
      <c r="A21" s="18" t="s">
        <v>67</v>
      </c>
      <c r="B21" s="19"/>
      <c r="C21" s="19">
        <v>251880</v>
      </c>
      <c r="D21" s="19">
        <v>623617.19999999995</v>
      </c>
      <c r="E21" s="19">
        <v>875497.2</v>
      </c>
      <c r="F21" s="26">
        <f t="shared" si="0"/>
        <v>5.9407659955345908E-2</v>
      </c>
    </row>
    <row r="22" spans="1:6" x14ac:dyDescent="0.35">
      <c r="A22" s="20" t="s">
        <v>41</v>
      </c>
      <c r="B22" s="21">
        <v>4794978.5999999996</v>
      </c>
      <c r="C22" s="21">
        <v>4485362.93</v>
      </c>
      <c r="D22" s="21">
        <v>5456768.1399999997</v>
      </c>
      <c r="E22" s="21">
        <v>14737109.67</v>
      </c>
      <c r="F22" s="5"/>
    </row>
    <row r="23" spans="1:6" s="14" customFormat="1" x14ac:dyDescent="0.35">
      <c r="A23" s="22"/>
      <c r="B23" s="23"/>
      <c r="C23" s="23"/>
      <c r="D23" s="23"/>
      <c r="E23" s="23"/>
    </row>
    <row r="24" spans="1:6" s="14" customFormat="1" x14ac:dyDescent="0.35">
      <c r="A24" s="22"/>
      <c r="B24" s="23"/>
      <c r="C24" s="23"/>
      <c r="D24" s="23"/>
      <c r="E24" s="23"/>
    </row>
    <row r="25" spans="1:6" s="15" customFormat="1" ht="18.5" customHeight="1" x14ac:dyDescent="0.35">
      <c r="A25" s="9" t="s">
        <v>5</v>
      </c>
      <c r="B25" s="10">
        <f>COUNT(B2:B21)</f>
        <v>12</v>
      </c>
      <c r="C25" s="10">
        <f>COUNT(C2:C21)</f>
        <v>11</v>
      </c>
      <c r="D25" s="10">
        <f>COUNT(D2:D21)</f>
        <v>17</v>
      </c>
      <c r="E25" s="11">
        <f>COUNT(E2:E21)</f>
        <v>20</v>
      </c>
    </row>
    <row r="26" spans="1:6" s="15" customFormat="1" ht="18.5" customHeight="1" x14ac:dyDescent="0.35">
      <c r="A26" s="9" t="s">
        <v>34</v>
      </c>
      <c r="B26" s="10">
        <v>41</v>
      </c>
      <c r="C26" s="10">
        <v>38</v>
      </c>
      <c r="D26" s="10">
        <v>28</v>
      </c>
      <c r="E26" s="10"/>
    </row>
    <row r="27" spans="1:6" s="15" customFormat="1" x14ac:dyDescent="0.35">
      <c r="A27" s="9" t="s">
        <v>32</v>
      </c>
      <c r="B27" s="10"/>
      <c r="C27" s="10"/>
      <c r="D27" s="10"/>
      <c r="E27" s="11"/>
    </row>
    <row r="28" spans="1:6" s="15" customFormat="1" x14ac:dyDescent="0.35">
      <c r="A28" s="9" t="s">
        <v>33</v>
      </c>
      <c r="B28" s="10"/>
      <c r="C28" s="10"/>
      <c r="D28" s="10"/>
      <c r="E28" s="11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5" x14ac:dyDescent="0.35"/>
  <cols>
    <col min="1" max="10" width="20" customWidth="1"/>
  </cols>
  <sheetData>
    <row r="1" spans="1:10" ht="21" x14ac:dyDescent="0.5">
      <c r="A1" s="29" t="s">
        <v>7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x14ac:dyDescent="0.35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5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Hitesh Jain</cp:lastModifiedBy>
  <cp:lastPrinted>2026-07-13T12:02:07Z</cp:lastPrinted>
  <dcterms:created xsi:type="dcterms:W3CDTF">2026-07-03T03:50:45Z</dcterms:created>
  <dcterms:modified xsi:type="dcterms:W3CDTF">2026-07-14T15:21:16Z</dcterms:modified>
</cp:coreProperties>
</file>