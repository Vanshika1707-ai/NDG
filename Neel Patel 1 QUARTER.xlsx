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PL SALES\OneDrive\Desktop\New folder (3)\neel patel\"/>
    </mc:Choice>
  </mc:AlternateContent>
  <bookViews>
    <workbookView xWindow="0" yWindow="0" windowWidth="23040" windowHeight="7692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Sales'!$A$19:$E$24</definedName>
  </definedNames>
  <calcPr calcId="162913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  <c r="E21" i="4"/>
  <c r="D21" i="4"/>
  <c r="C21" i="4"/>
  <c r="B21" i="4"/>
  <c r="E25" i="1"/>
  <c r="E21" i="1"/>
  <c r="E19" i="1" l="1"/>
  <c r="E13" i="1"/>
  <c r="E14" i="1"/>
  <c r="E20" i="1" l="1"/>
  <c r="E6" i="1"/>
  <c r="E5" i="1"/>
  <c r="E11" i="1"/>
  <c r="E9" i="1"/>
  <c r="E8" i="1"/>
  <c r="E7" i="1" l="1"/>
  <c r="E16" i="1"/>
  <c r="E22" i="1" l="1"/>
  <c r="E4" i="1"/>
  <c r="E10" i="1"/>
  <c r="E3" i="1"/>
  <c r="E15" i="1"/>
  <c r="E12" i="1"/>
</calcChain>
</file>

<file path=xl/sharedStrings.xml><?xml version="1.0" encoding="utf-8"?>
<sst xmlns="http://schemas.openxmlformats.org/spreadsheetml/2006/main" count="76" uniqueCount="75">
  <si>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</si>
  <si>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</si>
  <si>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</si>
  <si>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</si>
  <si>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</si>
  <si>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</si>
  <si>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</si>
  <si>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</si>
  <si>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</si>
  <si>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</si>
  <si>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</si>
  <si>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</si>
  <si>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</si>
  <si>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</si>
  <si>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</si>
  <si>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</si>
  <si>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</si>
  <si>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</si>
  <si>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</si>
  <si>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</si>
  <si>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</si>
  <si>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</si>
  <si>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</si>
  <si>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</si>
  <si>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</si>
  <si>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</si>
  <si>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</si>
  <si>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</si>
  <si>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</si>
  <si>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</si>
  <si>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</si>
  <si>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</si>
  <si>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</si>
  <si>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</si>
  <si>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</si>
  <si>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</si>
  <si>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</si>
  <si>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</si>
  <si>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</si>
  <si>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</si>
  <si>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</si>
  <si>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</si>
  <si>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 xml:space="preserve">Adhesive </t>
  </si>
  <si>
    <t>Artica</t>
  </si>
  <si>
    <t>Binding Board</t>
  </si>
  <si>
    <t xml:space="preserve">April Fine (Board)/Paper And Board  </t>
  </si>
  <si>
    <t>Satia Paper</t>
  </si>
  <si>
    <t>Sudhir Paper</t>
  </si>
  <si>
    <t>Pud (Paper)</t>
  </si>
  <si>
    <t>Boyer</t>
  </si>
  <si>
    <t>Cpp/ Paper And Board</t>
  </si>
  <si>
    <t>Poster Paper</t>
  </si>
  <si>
    <t>Row Labels</t>
  </si>
  <si>
    <t>Average Debtor (Closing Debtor+Opning Debtor)/2</t>
  </si>
  <si>
    <t>Neel Patel Template - Business at a Glance (Quarter 1)</t>
  </si>
  <si>
    <t>ASQUARE DIGITAL PRESS LIMITED</t>
  </si>
  <si>
    <t>CHANAKYA DOCUTEL SYSTEMS</t>
  </si>
  <si>
    <t>DATA PROCESSING FORMS PVT.LTD.</t>
  </si>
  <si>
    <t>KLICK DIGITAL PRESS (UNIT-2)</t>
  </si>
  <si>
    <t>MAX MEDIA DIGITAL PRESS</t>
  </si>
  <si>
    <t>NEW IMAGE DIGITAL PRESS</t>
  </si>
  <si>
    <t>PAYONEER BOOK</t>
  </si>
  <si>
    <t>PLEZER COLOR LAB</t>
  </si>
  <si>
    <t>PLEZER COLOR LAB (AHBD)</t>
  </si>
  <si>
    <t>PLEZER DIGITAL PRESS.</t>
  </si>
  <si>
    <t>SMART DIGITAL PRESS</t>
  </si>
  <si>
    <t>SMART PHOTO ALBUM</t>
  </si>
  <si>
    <t>YASH PAVAN DIGITAL PRESS</t>
  </si>
  <si>
    <t>AKSHAR KARIZMA ALBUM PROP.RANJEETBHAI SOMABHAI RAJPUT</t>
  </si>
  <si>
    <t>RAJESHREE DIGITAL PRESS PROP PRATHAM VIKRAMBHAI SUTHAR</t>
  </si>
  <si>
    <t>Percentage</t>
  </si>
  <si>
    <t>Cosmo / Amazing Media  (KG)</t>
  </si>
  <si>
    <t>Sara Lam / Amazing Media (KG)</t>
  </si>
  <si>
    <t>Sara Print / Amazing Media (ST)</t>
  </si>
  <si>
    <t>April Fine (Paper)/Paper And Board 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</si>
</sst>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0" xfId="0"/>
    <xf numFmtId="0" fontId="0" fillId="0" borderId="2" xfId="0" applyBorder="1"/>
    <xf numFmtId="0" fontId="8" fillId="0" borderId="2" xfId="0" applyFont="1" applyBorder="1"/>
    <xf numFmtId="164" fontId="0" fillId="0" borderId="2" xfId="1" applyFont="1" applyBorder="1"/>
    <xf numFmtId="164" fontId="6" fillId="0" borderId="2" xfId="1" applyFont="1" applyBorder="1"/>
    <xf numFmtId="164" fontId="6" fillId="0" borderId="2" xfId="1" applyFont="1" applyBorder="1" applyAlignment="1">
      <alignment vertical="center"/>
    </xf>
    <xf numFmtId="0" fontId="0" fillId="3" borderId="2" xfId="0" applyFill="1" applyBorder="1"/>
    <xf numFmtId="164" fontId="0" fillId="3" borderId="2" xfId="1" applyFont="1" applyFill="1" applyBorder="1"/>
    <xf numFmtId="164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43" fontId="6" fillId="4" borderId="2" xfId="0" applyNumberFormat="1" applyFont="1" applyFill="1" applyBorder="1"/>
    <xf numFmtId="10" fontId="0" fillId="0" borderId="2" xfId="2" applyNumberFormat="1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10" workbookViewId="0">
      <selection activeCell="E25" sqref="E25"/>
    </sheetView>
  </sheetViews>
  <sheetFormatPr defaultRowHeight="18.45" customHeight="1" x14ac:dyDescent="0.3"/>
  <cols>
    <col min="1" max="1" width="52.5546875" customWidth="1"/>
    <col min="2" max="3" width="14.109375" customWidth="1"/>
    <col min="4" max="4" width="15.109375" bestFit="1" customWidth="1"/>
    <col min="5" max="5" width="15.6640625" customWidth="1"/>
  </cols>
  <sheetData>
    <row r="1" spans="1:5" s="15" customFormat="1" ht="26.4" customHeight="1" x14ac:dyDescent="0.3">
      <c r="A1" s="31" t="s">
        <v>54</v>
      </c>
      <c r="B1" s="32"/>
      <c r="C1" s="32"/>
      <c r="D1" s="32"/>
      <c r="E1" s="32"/>
    </row>
    <row r="2" spans="1:5" s="15" customFormat="1" ht="21.6" customHeight="1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</row>
    <row r="3" spans="1:5" ht="18.45" customHeight="1" x14ac:dyDescent="0.3">
      <c r="A3" s="7" t="s">
        <v>45</v>
      </c>
      <c r="B3" s="8"/>
      <c r="C3" s="8"/>
      <c r="D3" s="8"/>
      <c r="E3" s="9">
        <f t="shared" ref="E3:E16" si="0">SUM(B3:D3)</f>
        <v>0</v>
      </c>
    </row>
    <row r="4" spans="1:5" ht="14.4" x14ac:dyDescent="0.3">
      <c r="A4" s="7" t="s">
        <v>74</v>
      </c>
      <c r="B4" s="8">
        <v>199.68</v>
      </c>
      <c r="C4" s="8">
        <v>312</v>
      </c>
      <c r="D4" s="8"/>
      <c r="E4" s="9">
        <f t="shared" si="0"/>
        <v>511.68</v>
      </c>
    </row>
    <row r="5" spans="1:5" s="18" customFormat="1" ht="14.4" x14ac:dyDescent="0.3">
      <c r="A5" s="7" t="s">
        <v>46</v>
      </c>
      <c r="B5" s="8"/>
      <c r="C5" s="8"/>
      <c r="D5" s="8"/>
      <c r="E5" s="9">
        <f t="shared" si="0"/>
        <v>0</v>
      </c>
    </row>
    <row r="6" spans="1:5" s="18" customFormat="1" ht="14.4" x14ac:dyDescent="0.3">
      <c r="A6" s="7" t="s">
        <v>47</v>
      </c>
      <c r="B6" s="8"/>
      <c r="C6" s="8"/>
      <c r="D6" s="8"/>
      <c r="E6" s="9">
        <f t="shared" si="0"/>
        <v>0</v>
      </c>
    </row>
    <row r="7" spans="1:5" s="5" customFormat="1" ht="14.4" x14ac:dyDescent="0.3">
      <c r="A7" s="7" t="s">
        <v>48</v>
      </c>
      <c r="B7" s="8"/>
      <c r="C7" s="8"/>
      <c r="D7" s="8"/>
      <c r="E7" s="9">
        <f t="shared" si="0"/>
        <v>0</v>
      </c>
    </row>
    <row r="8" spans="1:5" s="18" customFormat="1" ht="14.4" x14ac:dyDescent="0.3">
      <c r="A8" s="7" t="s">
        <v>44</v>
      </c>
      <c r="B8" s="8"/>
      <c r="C8" s="8"/>
      <c r="D8" s="8"/>
      <c r="E8" s="9">
        <f t="shared" si="0"/>
        <v>0</v>
      </c>
    </row>
    <row r="9" spans="1:5" s="18" customFormat="1" ht="14.4" x14ac:dyDescent="0.3">
      <c r="A9" s="7" t="s">
        <v>49</v>
      </c>
      <c r="B9" s="8"/>
      <c r="C9" s="8"/>
      <c r="D9" s="8"/>
      <c r="E9" s="9">
        <f t="shared" si="0"/>
        <v>0</v>
      </c>
    </row>
    <row r="10" spans="1:5" s="3" customFormat="1" ht="18.45" customHeight="1" x14ac:dyDescent="0.3">
      <c r="A10" s="6" t="s">
        <v>50</v>
      </c>
      <c r="B10" s="8"/>
      <c r="C10" s="8"/>
      <c r="D10" s="8"/>
      <c r="E10" s="9">
        <f t="shared" si="0"/>
        <v>0</v>
      </c>
    </row>
    <row r="11" spans="1:5" s="18" customFormat="1" ht="18.45" customHeight="1" x14ac:dyDescent="0.3">
      <c r="A11" s="6" t="s">
        <v>51</v>
      </c>
      <c r="B11" s="8"/>
      <c r="C11" s="8"/>
      <c r="D11" s="8"/>
      <c r="E11" s="9">
        <f t="shared" si="0"/>
        <v>0</v>
      </c>
    </row>
    <row r="12" spans="1:5" ht="18.45" customHeight="1" x14ac:dyDescent="0.3">
      <c r="A12" s="6" t="s">
        <v>42</v>
      </c>
      <c r="B12" s="8"/>
      <c r="C12" s="8"/>
      <c r="D12" s="8"/>
      <c r="E12" s="9">
        <f t="shared" si="0"/>
        <v>0</v>
      </c>
    </row>
    <row r="13" spans="1:5" s="27" customFormat="1" ht="18.45" customHeight="1" x14ac:dyDescent="0.3">
      <c r="A13" s="6" t="s">
        <v>73</v>
      </c>
      <c r="B13" s="8">
        <v>485000</v>
      </c>
      <c r="C13" s="8">
        <v>262200</v>
      </c>
      <c r="D13" s="8">
        <v>603550</v>
      </c>
      <c r="E13" s="9">
        <f t="shared" ref="E13:E14" si="1">SUM(B13:D13)</f>
        <v>1350750</v>
      </c>
    </row>
    <row r="14" spans="1:5" ht="18.45" customHeight="1" x14ac:dyDescent="0.3">
      <c r="A14" s="6" t="s">
        <v>72</v>
      </c>
      <c r="B14" s="8">
        <v>20216.16</v>
      </c>
      <c r="C14" s="8">
        <v>278.5</v>
      </c>
      <c r="D14" s="8">
        <v>242</v>
      </c>
      <c r="E14" s="9">
        <f t="shared" si="1"/>
        <v>20736.66</v>
      </c>
    </row>
    <row r="15" spans="1:5" ht="18.45" customHeight="1" x14ac:dyDescent="0.3">
      <c r="A15" s="6" t="s">
        <v>71</v>
      </c>
      <c r="B15" s="8"/>
      <c r="C15" s="8"/>
      <c r="D15" s="8">
        <v>304.22000000000003</v>
      </c>
      <c r="E15" s="9">
        <f t="shared" si="0"/>
        <v>304.22000000000003</v>
      </c>
    </row>
    <row r="16" spans="1:5" ht="18.45" customHeight="1" x14ac:dyDescent="0.3">
      <c r="A16" s="6" t="s">
        <v>43</v>
      </c>
      <c r="B16" s="8"/>
      <c r="C16" s="8"/>
      <c r="D16" s="8"/>
      <c r="E16" s="10">
        <f t="shared" si="0"/>
        <v>0</v>
      </c>
    </row>
    <row r="17" spans="1:5" ht="18.45" customHeight="1" x14ac:dyDescent="0.3">
      <c r="A17" s="6"/>
      <c r="B17" s="8"/>
      <c r="C17" s="8"/>
      <c r="D17" s="8"/>
      <c r="E17" s="8"/>
    </row>
    <row r="18" spans="1:5" ht="18.45" customHeight="1" x14ac:dyDescent="0.3">
      <c r="A18" s="6"/>
      <c r="B18" s="8"/>
      <c r="C18" s="8"/>
      <c r="D18" s="8"/>
      <c r="E18" s="8"/>
    </row>
    <row r="19" spans="1:5" ht="18.45" customHeight="1" x14ac:dyDescent="0.3">
      <c r="A19" s="11" t="s">
        <v>30</v>
      </c>
      <c r="B19" s="12">
        <v>10575712.57</v>
      </c>
      <c r="C19" s="12">
        <v>3346408.4</v>
      </c>
      <c r="D19" s="12">
        <v>6908357</v>
      </c>
      <c r="E19" s="13">
        <f>B19+C19+D19</f>
        <v>20830477.969999999</v>
      </c>
    </row>
    <row r="20" spans="1:5" ht="18.45" customHeight="1" x14ac:dyDescent="0.3">
      <c r="A20" s="11" t="s">
        <v>6</v>
      </c>
      <c r="B20" s="12">
        <v>10607447</v>
      </c>
      <c r="C20" s="12">
        <v>7121056</v>
      </c>
      <c r="D20" s="12">
        <v>7362684</v>
      </c>
      <c r="E20" s="13">
        <f>SUM(B20:D20)</f>
        <v>25091187</v>
      </c>
    </row>
    <row r="21" spans="1:5" s="3" customFormat="1" ht="18.45" customHeight="1" x14ac:dyDescent="0.3">
      <c r="A21" s="11" t="s">
        <v>53</v>
      </c>
      <c r="B21" s="12"/>
      <c r="C21" s="12"/>
      <c r="D21" s="12"/>
      <c r="E21" s="13">
        <f>(11641135+11129912)/2</f>
        <v>11385523.5</v>
      </c>
    </row>
    <row r="22" spans="1:5" s="3" customFormat="1" ht="18.45" customHeight="1" x14ac:dyDescent="0.3">
      <c r="A22" s="11" t="s">
        <v>35</v>
      </c>
      <c r="B22" s="12"/>
      <c r="C22" s="12"/>
      <c r="D22" s="12"/>
      <c r="E22" s="13">
        <f>E21/E19*90</f>
        <v>49.192203677503997</v>
      </c>
    </row>
    <row r="23" spans="1:5" s="3" customFormat="1" ht="18.45" customHeight="1" x14ac:dyDescent="0.3">
      <c r="A23" s="11" t="s">
        <v>36</v>
      </c>
      <c r="B23" s="12"/>
      <c r="C23" s="12"/>
      <c r="D23" s="12"/>
      <c r="E23" s="13">
        <v>711968</v>
      </c>
    </row>
    <row r="24" spans="1:5" s="3" customFormat="1" ht="18.45" customHeight="1" x14ac:dyDescent="0.3">
      <c r="A24" s="11" t="s">
        <v>37</v>
      </c>
      <c r="B24" s="12"/>
      <c r="C24" s="12"/>
      <c r="D24" s="12"/>
      <c r="E24" s="13">
        <v>11129912</v>
      </c>
    </row>
    <row r="25" spans="1:5" ht="18.45" customHeight="1" x14ac:dyDescent="0.3">
      <c r="A25" s="11" t="s">
        <v>31</v>
      </c>
      <c r="B25" s="12"/>
      <c r="C25" s="12"/>
      <c r="D25" s="12"/>
      <c r="E25" s="14">
        <f>E23/E24</f>
        <v>6.3968879538310819E-2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4" workbookViewId="0">
      <selection activeCell="B27" sqref="B27"/>
    </sheetView>
  </sheetViews>
  <sheetFormatPr defaultColWidth="8.77734375" defaultRowHeight="14.4" x14ac:dyDescent="0.3"/>
  <cols>
    <col min="1" max="1" width="65.77734375" style="3" customWidth="1"/>
    <col min="2" max="2" width="11" style="3" customWidth="1"/>
    <col min="3" max="4" width="12" style="3" customWidth="1"/>
    <col min="5" max="5" width="14.21875" style="3" bestFit="1" customWidth="1"/>
    <col min="6" max="6" width="10.44140625" style="3" bestFit="1" customWidth="1"/>
    <col min="7" max="16384" width="8.77734375" style="3"/>
  </cols>
  <sheetData>
    <row r="1" spans="1:6" s="28" customFormat="1" x14ac:dyDescent="0.3">
      <c r="A1" s="19" t="s">
        <v>52</v>
      </c>
      <c r="B1" s="19" t="s">
        <v>38</v>
      </c>
      <c r="C1" s="19" t="s">
        <v>39</v>
      </c>
      <c r="D1" s="19" t="s">
        <v>40</v>
      </c>
      <c r="E1" s="19" t="s">
        <v>41</v>
      </c>
      <c r="F1" s="19" t="s">
        <v>70</v>
      </c>
    </row>
    <row r="2" spans="1:6" s="28" customFormat="1" x14ac:dyDescent="0.3">
      <c r="A2" s="20" t="s">
        <v>55</v>
      </c>
      <c r="B2" s="21"/>
      <c r="C2" s="21">
        <v>32400</v>
      </c>
      <c r="D2" s="21">
        <v>65600</v>
      </c>
      <c r="E2" s="21">
        <v>98000</v>
      </c>
      <c r="F2" s="30">
        <f>E2/E$17</f>
        <v>4.7046448065732986E-3</v>
      </c>
    </row>
    <row r="3" spans="1:6" s="28" customFormat="1" x14ac:dyDescent="0.3">
      <c r="A3" s="20" t="s">
        <v>56</v>
      </c>
      <c r="B3" s="21">
        <v>3872435.5700000003</v>
      </c>
      <c r="C3" s="21">
        <v>909708.4</v>
      </c>
      <c r="D3" s="21">
        <v>927217</v>
      </c>
      <c r="E3" s="21">
        <v>5709360.9700000007</v>
      </c>
      <c r="F3" s="30">
        <f t="shared" ref="F3:F16" si="0">E3/E$17</f>
        <v>0.27408689220778359</v>
      </c>
    </row>
    <row r="4" spans="1:6" s="28" customFormat="1" x14ac:dyDescent="0.3">
      <c r="A4" s="20" t="s">
        <v>57</v>
      </c>
      <c r="B4" s="21">
        <v>1950127</v>
      </c>
      <c r="C4" s="21"/>
      <c r="D4" s="21"/>
      <c r="E4" s="21">
        <v>1950127</v>
      </c>
      <c r="F4" s="30">
        <f t="shared" si="0"/>
        <v>9.3618927170493541E-2</v>
      </c>
    </row>
    <row r="5" spans="1:6" s="28" customFormat="1" x14ac:dyDescent="0.3">
      <c r="A5" s="20" t="s">
        <v>58</v>
      </c>
      <c r="B5" s="21"/>
      <c r="C5" s="21">
        <v>141600</v>
      </c>
      <c r="D5" s="21">
        <v>111000</v>
      </c>
      <c r="E5" s="21">
        <v>252600</v>
      </c>
      <c r="F5" s="30">
        <f t="shared" si="0"/>
        <v>1.2126462021840971E-2</v>
      </c>
    </row>
    <row r="6" spans="1:6" s="28" customFormat="1" x14ac:dyDescent="0.3">
      <c r="A6" s="20" t="s">
        <v>59</v>
      </c>
      <c r="B6" s="21">
        <v>450000</v>
      </c>
      <c r="C6" s="21"/>
      <c r="D6" s="21">
        <v>443750</v>
      </c>
      <c r="E6" s="21">
        <v>893750</v>
      </c>
      <c r="F6" s="30">
        <f t="shared" si="0"/>
        <v>4.2905880570151891E-2</v>
      </c>
    </row>
    <row r="7" spans="1:6" s="28" customFormat="1" x14ac:dyDescent="0.3">
      <c r="A7" s="20" t="s">
        <v>60</v>
      </c>
      <c r="B7" s="21">
        <v>676950</v>
      </c>
      <c r="C7" s="21">
        <v>390000</v>
      </c>
      <c r="D7" s="21"/>
      <c r="E7" s="21">
        <v>1066950</v>
      </c>
      <c r="F7" s="30">
        <f t="shared" si="0"/>
        <v>5.1220620167075313E-2</v>
      </c>
    </row>
    <row r="8" spans="1:6" s="28" customFormat="1" x14ac:dyDescent="0.3">
      <c r="A8" s="20" t="s">
        <v>61</v>
      </c>
      <c r="B8" s="21"/>
      <c r="C8" s="21"/>
      <c r="D8" s="21">
        <v>103000</v>
      </c>
      <c r="E8" s="21">
        <v>103000</v>
      </c>
      <c r="F8" s="30">
        <f t="shared" si="0"/>
        <v>4.9446777048678548E-3</v>
      </c>
    </row>
    <row r="9" spans="1:6" s="28" customFormat="1" x14ac:dyDescent="0.3">
      <c r="A9" s="20" t="s">
        <v>62</v>
      </c>
      <c r="B9" s="21">
        <v>524750</v>
      </c>
      <c r="C9" s="21"/>
      <c r="D9" s="21">
        <v>268140</v>
      </c>
      <c r="E9" s="21">
        <v>792890</v>
      </c>
      <c r="F9" s="30">
        <f t="shared" si="0"/>
        <v>3.8063936945754107E-2</v>
      </c>
    </row>
    <row r="10" spans="1:6" s="28" customFormat="1" x14ac:dyDescent="0.3">
      <c r="A10" s="20" t="s">
        <v>63</v>
      </c>
      <c r="B10" s="21"/>
      <c r="C10" s="21"/>
      <c r="D10" s="21">
        <v>143000</v>
      </c>
      <c r="E10" s="21">
        <v>143000</v>
      </c>
      <c r="F10" s="30">
        <f t="shared" si="0"/>
        <v>6.8649408912243026E-3</v>
      </c>
    </row>
    <row r="11" spans="1:6" s="28" customFormat="1" x14ac:dyDescent="0.3">
      <c r="A11" s="20" t="s">
        <v>64</v>
      </c>
      <c r="B11" s="21">
        <v>282000</v>
      </c>
      <c r="C11" s="21">
        <v>629200</v>
      </c>
      <c r="D11" s="21">
        <v>2304750</v>
      </c>
      <c r="E11" s="21">
        <v>3215950</v>
      </c>
      <c r="F11" s="30">
        <f t="shared" si="0"/>
        <v>0.15438675985407552</v>
      </c>
    </row>
    <row r="12" spans="1:6" s="28" customFormat="1" x14ac:dyDescent="0.3">
      <c r="A12" s="20" t="s">
        <v>65</v>
      </c>
      <c r="B12" s="21">
        <v>641700</v>
      </c>
      <c r="C12" s="21">
        <v>330000</v>
      </c>
      <c r="D12" s="21">
        <v>676250</v>
      </c>
      <c r="E12" s="21">
        <v>1647950</v>
      </c>
      <c r="F12" s="30">
        <f t="shared" si="0"/>
        <v>7.9112442948902725E-2</v>
      </c>
    </row>
    <row r="13" spans="1:6" s="28" customFormat="1" x14ac:dyDescent="0.3">
      <c r="A13" s="20" t="s">
        <v>66</v>
      </c>
      <c r="B13" s="21">
        <v>1098000</v>
      </c>
      <c r="C13" s="21">
        <v>540000</v>
      </c>
      <c r="D13" s="21">
        <v>906250</v>
      </c>
      <c r="E13" s="21">
        <v>2544250</v>
      </c>
      <c r="F13" s="30">
        <f t="shared" si="0"/>
        <v>0.12214074029718484</v>
      </c>
    </row>
    <row r="14" spans="1:6" s="28" customFormat="1" x14ac:dyDescent="0.3">
      <c r="A14" s="20" t="s">
        <v>67</v>
      </c>
      <c r="B14" s="21">
        <v>1079750</v>
      </c>
      <c r="C14" s="21">
        <v>373500</v>
      </c>
      <c r="D14" s="21">
        <v>942500</v>
      </c>
      <c r="E14" s="21">
        <v>2395750</v>
      </c>
      <c r="F14" s="30">
        <f t="shared" si="0"/>
        <v>0.11501176321783653</v>
      </c>
    </row>
    <row r="15" spans="1:6" s="28" customFormat="1" x14ac:dyDescent="0.3">
      <c r="A15" s="20" t="s">
        <v>68</v>
      </c>
      <c r="B15" s="21"/>
      <c r="C15" s="21"/>
      <c r="D15" s="21">
        <v>3100</v>
      </c>
      <c r="E15" s="21">
        <v>3100</v>
      </c>
      <c r="F15" s="30">
        <f t="shared" si="0"/>
        <v>1.4882039694262474E-4</v>
      </c>
    </row>
    <row r="16" spans="1:6" s="28" customFormat="1" x14ac:dyDescent="0.3">
      <c r="A16" s="20" t="s">
        <v>69</v>
      </c>
      <c r="B16" s="21"/>
      <c r="C16" s="21"/>
      <c r="D16" s="21">
        <v>13800</v>
      </c>
      <c r="E16" s="21">
        <v>13800</v>
      </c>
      <c r="F16" s="30">
        <f t="shared" si="0"/>
        <v>6.6249079929297464E-4</v>
      </c>
    </row>
    <row r="17" spans="1:6" s="28" customFormat="1" x14ac:dyDescent="0.3">
      <c r="A17" s="22" t="s">
        <v>41</v>
      </c>
      <c r="B17" s="23">
        <v>10575712.57</v>
      </c>
      <c r="C17" s="23">
        <v>3346408.4</v>
      </c>
      <c r="D17" s="23">
        <v>6908357</v>
      </c>
      <c r="E17" s="29">
        <v>20830477.969999999</v>
      </c>
      <c r="F17" s="6"/>
    </row>
    <row r="18" spans="1:6" s="28" customFormat="1" x14ac:dyDescent="0.3"/>
    <row r="19" spans="1:6" s="16" customFormat="1" x14ac:dyDescent="0.3">
      <c r="A19" s="24"/>
      <c r="B19" s="25"/>
      <c r="C19" s="25"/>
      <c r="D19" s="25"/>
      <c r="E19" s="25"/>
    </row>
    <row r="20" spans="1:6" s="16" customFormat="1" x14ac:dyDescent="0.3">
      <c r="A20" s="24"/>
      <c r="B20" s="25"/>
      <c r="C20" s="25"/>
      <c r="D20" s="25"/>
      <c r="E20" s="25"/>
    </row>
    <row r="21" spans="1:6" s="17" customFormat="1" ht="18.45" customHeight="1" x14ac:dyDescent="0.3">
      <c r="A21" s="11" t="s">
        <v>5</v>
      </c>
      <c r="B21" s="12">
        <f>COUNT(B2:B16)</f>
        <v>9</v>
      </c>
      <c r="C21" s="12">
        <f>COUNT(C2:C16)</f>
        <v>8</v>
      </c>
      <c r="D21" s="12">
        <f>COUNT(D2:D16)</f>
        <v>13</v>
      </c>
      <c r="E21" s="13">
        <f>COUNT(E2:E16)</f>
        <v>15</v>
      </c>
    </row>
    <row r="22" spans="1:6" s="17" customFormat="1" ht="18.45" customHeight="1" x14ac:dyDescent="0.3">
      <c r="A22" s="11" t="s">
        <v>34</v>
      </c>
      <c r="B22" s="12">
        <v>9</v>
      </c>
      <c r="C22" s="12">
        <v>8</v>
      </c>
      <c r="D22" s="12">
        <v>29</v>
      </c>
      <c r="E22" s="12"/>
    </row>
    <row r="23" spans="1:6" s="17" customFormat="1" x14ac:dyDescent="0.3">
      <c r="A23" s="11" t="s">
        <v>32</v>
      </c>
      <c r="B23" s="12"/>
      <c r="C23" s="12"/>
      <c r="D23" s="12"/>
      <c r="E23" s="13"/>
    </row>
    <row r="24" spans="1:6" s="17" customFormat="1" x14ac:dyDescent="0.3">
      <c r="A24" s="11" t="s">
        <v>33</v>
      </c>
      <c r="B24" s="12"/>
      <c r="C24" s="12"/>
      <c r="D24" s="12"/>
      <c r="E24" s="13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4" x14ac:dyDescent="0.3"/>
  <cols>
    <col min="1" max="10" width="20" customWidth="1"/>
  </cols>
  <sheetData>
    <row r="1" spans="1:10" ht="21" x14ac:dyDescent="0.4">
      <c r="A1" s="33" t="s">
        <v>7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3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NDPL SALES</cp:lastModifiedBy>
  <cp:lastPrinted>2026-07-13T12:02:07Z</cp:lastPrinted>
  <dcterms:created xsi:type="dcterms:W3CDTF">2026-07-03T03:50:45Z</dcterms:created>
  <dcterms:modified xsi:type="dcterms:W3CDTF">2026-07-15T06:38:50Z</dcterms:modified>
</cp:coreProperties>
</file>