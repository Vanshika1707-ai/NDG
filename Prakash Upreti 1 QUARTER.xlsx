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Sales'!$A$6:$E$30</definedName>
  </definedNames>
  <calcPr calcId="152511"/>
</workbook>
</file>

<file path=xl/calcChain.xml><?xml version="1.0" encoding="utf-8"?>
<calcChain xmlns="http://schemas.openxmlformats.org/spreadsheetml/2006/main">
  <c r="E8" i="1" l="1"/>
  <c r="E21" i="1" l="1"/>
  <c r="E17" i="1"/>
  <c r="E15" i="1"/>
  <c r="E16" i="1"/>
  <c r="E18" i="1"/>
  <c r="E27" i="4"/>
  <c r="C27" i="4"/>
  <c r="D27" i="4"/>
  <c r="B27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6" i="1"/>
  <c r="E4" i="1"/>
  <c r="E12" i="1"/>
  <c r="E11" i="1"/>
  <c r="E10" i="1"/>
  <c r="E9" i="1" l="1"/>
  <c r="E3" i="1" l="1"/>
  <c r="E7" i="1"/>
  <c r="E5" i="1"/>
</calcChain>
</file>

<file path=xl/sharedStrings.xml><?xml version="1.0" encoding="utf-8"?>
<sst xmlns="http://schemas.openxmlformats.org/spreadsheetml/2006/main" count="79" uniqueCount="78">
  <si>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</si>
  <si>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</si>
  <si>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</si>
  <si>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</si>
  <si>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</si>
  <si>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</si>
  <si>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</si>
  <si>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</si>
  <si>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</si>
  <si>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</si>
  <si>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</si>
  <si>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</si>
  <si>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</si>
  <si>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</si>
  <si>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</si>
  <si>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</si>
  <si>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</si>
  <si>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</si>
  <si>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</si>
  <si>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</si>
  <si>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</si>
  <si>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</si>
  <si>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</si>
  <si>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</si>
  <si>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</si>
  <si>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</si>
  <si>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</si>
  <si>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</si>
  <si>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</si>
  <si>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</si>
  <si>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Sara Lam / Amazing Media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</si>
  <si>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</si>
  <si>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</si>
  <si>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</si>
  <si>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</si>
  <si>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</si>
  <si>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</si>
  <si>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</si>
  <si>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</si>
  <si>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</si>
  <si>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</si>
  <si>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</si>
  <si>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</si>
  <si>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Artica</t>
  </si>
  <si>
    <t xml:space="preserve">April Fine (Paper)/Paper And Board  </t>
  </si>
  <si>
    <t>Row Labels</t>
  </si>
  <si>
    <t>Average Debtor (Closing Debtor+Opning Debtor)/2</t>
  </si>
  <si>
    <t>Prakash Upreti Template - Business at a Glance (Quarter 1)</t>
  </si>
  <si>
    <t>Self Adhesive (AMS)</t>
  </si>
  <si>
    <t>Cosmo / Amazing Media  (ST)</t>
  </si>
  <si>
    <t>Cosmo Thermal / Amazing Media</t>
  </si>
  <si>
    <t>Sara Print / Amazing Media</t>
  </si>
  <si>
    <t>DU PONT</t>
  </si>
  <si>
    <t>OTHER</t>
  </si>
  <si>
    <t>ARCHANA PRINTING PRESS</t>
  </si>
  <si>
    <t>D K PRINTING PRESS</t>
  </si>
  <si>
    <t>DEV COLOUR LAB - KOTA</t>
  </si>
  <si>
    <t>DINESH IMAGING PRESS PROP.YOGESH KUMAR SAINI</t>
  </si>
  <si>
    <t>GARG PAPER AGENCIES PROP SATISH CHANDRA AGARWAL</t>
  </si>
  <si>
    <t>JINESH TRADING COMPANY PROP.JINESH KUMAR LUNAWAT</t>
  </si>
  <si>
    <t>KALA COLOUR LAB PRIVATE LIMITED</t>
  </si>
  <si>
    <t>KALA DIGITAL IMAGING</t>
  </si>
  <si>
    <t>LUCKY DIGITAL STUDIO</t>
  </si>
  <si>
    <t>MITTAL PRINTING PRESS</t>
  </si>
  <si>
    <t>OM PAPER STATIONERS</t>
  </si>
  <si>
    <t>PRINTSMITH PRIVATE LIMITED</t>
  </si>
  <si>
    <t>RAINBOW COLOUR LAB</t>
  </si>
  <si>
    <t>RAJ PRINTING PRESS PROP GHANSHYAM KUMAWAT</t>
  </si>
  <si>
    <t xml:space="preserve">SANKHALA VIDEOS  COLOUR LAB PROP.KANA RAM_x000D_
_x000D_
</t>
  </si>
  <si>
    <t>SHIVAM PAPER PRODUCT (JODHPUR)</t>
  </si>
  <si>
    <t>SHREE RADHEY DIGITAL PRESS PROP RAJESH BHAGTANI</t>
  </si>
  <si>
    <t>SIDDHI VINAYAK DIGITAL PRESS</t>
  </si>
  <si>
    <t>SUHANA COLOUR LAB PROP. ANWAR ALI</t>
  </si>
  <si>
    <t>SWASTIK  CORPORATION</t>
  </si>
  <si>
    <t>THESIS CENTER PROP. MUKESH TANWANI</t>
  </si>
  <si>
    <t>TIZARA AGENCIES PROP DEEPAK AGARWAL</t>
  </si>
  <si>
    <t>Percentage</t>
  </si>
  <si>
    <t>Cosmo Thermal Lamination/ Amazing Media 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</si>
</sst>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65" fontId="0" fillId="0" borderId="2" xfId="2" applyNumberFormat="1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4" customFormat="1" ht="26.4" customHeight="1" x14ac:dyDescent="0.35">
      <c r="A1" s="29" t="s">
        <v>47</v>
      </c>
      <c r="B1" s="30"/>
      <c r="C1" s="30"/>
      <c r="D1" s="30"/>
      <c r="E1" s="30"/>
    </row>
    <row r="2" spans="1:5" s="14" customFormat="1" ht="21.65" customHeight="1" x14ac:dyDescent="0.35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</row>
    <row r="3" spans="1:5" ht="14.5" x14ac:dyDescent="0.35">
      <c r="A3" s="6" t="s">
        <v>44</v>
      </c>
      <c r="B3" s="7">
        <v>0</v>
      </c>
      <c r="C3" s="7">
        <v>522</v>
      </c>
      <c r="D3" s="7">
        <v>0</v>
      </c>
      <c r="E3" s="8">
        <f t="shared" ref="E3:E12" si="0">SUM(B3:D3)</f>
        <v>522</v>
      </c>
    </row>
    <row r="4" spans="1:5" s="26" customFormat="1" ht="18.5" customHeight="1" x14ac:dyDescent="0.35">
      <c r="A4" s="5" t="s">
        <v>51</v>
      </c>
      <c r="B4" s="7">
        <v>491400</v>
      </c>
      <c r="C4" s="7">
        <v>675550</v>
      </c>
      <c r="D4" s="7">
        <v>480800</v>
      </c>
      <c r="E4" s="8">
        <f t="shared" si="0"/>
        <v>1647750</v>
      </c>
    </row>
    <row r="5" spans="1:5" ht="18.5" customHeight="1" x14ac:dyDescent="0.35">
      <c r="A5" s="5" t="s">
        <v>30</v>
      </c>
      <c r="B5" s="7">
        <v>3543.2</v>
      </c>
      <c r="C5" s="7">
        <v>4196.8899999999994</v>
      </c>
      <c r="D5" s="7">
        <v>322.8</v>
      </c>
      <c r="E5" s="8">
        <f t="shared" si="0"/>
        <v>8062.8899999999994</v>
      </c>
    </row>
    <row r="6" spans="1:5" s="26" customFormat="1" ht="18.5" customHeight="1" x14ac:dyDescent="0.35">
      <c r="A6" s="5" t="s">
        <v>50</v>
      </c>
      <c r="B6" s="7">
        <v>0</v>
      </c>
      <c r="C6" s="7">
        <v>0</v>
      </c>
      <c r="D6" s="7">
        <v>141.31</v>
      </c>
      <c r="E6" s="8">
        <f t="shared" si="0"/>
        <v>141.31</v>
      </c>
    </row>
    <row r="7" spans="1:5" ht="18.5" customHeight="1" x14ac:dyDescent="0.35">
      <c r="A7" s="5" t="s">
        <v>49</v>
      </c>
      <c r="B7" s="7">
        <v>0</v>
      </c>
      <c r="C7" s="7">
        <v>11000</v>
      </c>
      <c r="D7" s="7">
        <v>14000</v>
      </c>
      <c r="E7" s="8">
        <f t="shared" si="0"/>
        <v>25000</v>
      </c>
    </row>
    <row r="8" spans="1:5" s="27" customFormat="1" ht="18.5" customHeight="1" x14ac:dyDescent="0.35">
      <c r="A8" s="5" t="s">
        <v>77</v>
      </c>
      <c r="B8" s="7">
        <v>0</v>
      </c>
      <c r="C8" s="7">
        <v>139.53</v>
      </c>
      <c r="D8" s="7">
        <v>0</v>
      </c>
      <c r="E8" s="8">
        <f t="shared" si="0"/>
        <v>139.53</v>
      </c>
    </row>
    <row r="9" spans="1:5" ht="18.5" customHeight="1" x14ac:dyDescent="0.35">
      <c r="A9" s="5" t="s">
        <v>43</v>
      </c>
      <c r="B9" s="7">
        <v>3034.7000000000003</v>
      </c>
      <c r="C9" s="7">
        <v>4576.0000000000009</v>
      </c>
      <c r="D9" s="7">
        <v>1861.05</v>
      </c>
      <c r="E9" s="9">
        <f t="shared" si="0"/>
        <v>9471.75</v>
      </c>
    </row>
    <row r="10" spans="1:5" ht="18.5" customHeight="1" x14ac:dyDescent="0.35">
      <c r="A10" s="5" t="s">
        <v>48</v>
      </c>
      <c r="B10" s="7">
        <v>0</v>
      </c>
      <c r="C10" s="7">
        <v>1000</v>
      </c>
      <c r="D10" s="7">
        <v>0</v>
      </c>
      <c r="E10" s="9">
        <f t="shared" si="0"/>
        <v>1000</v>
      </c>
    </row>
    <row r="11" spans="1:5" s="26" customFormat="1" ht="18.5" customHeight="1" x14ac:dyDescent="0.35">
      <c r="A11" s="5" t="s">
        <v>52</v>
      </c>
      <c r="B11" s="7">
        <v>0</v>
      </c>
      <c r="C11" s="7">
        <v>774</v>
      </c>
      <c r="D11" s="7">
        <v>193.5</v>
      </c>
      <c r="E11" s="9">
        <f t="shared" si="0"/>
        <v>967.5</v>
      </c>
    </row>
    <row r="12" spans="1:5" ht="18.5" customHeight="1" x14ac:dyDescent="0.35">
      <c r="A12" s="5" t="s">
        <v>53</v>
      </c>
      <c r="B12" s="7">
        <v>0</v>
      </c>
      <c r="C12" s="7">
        <v>60</v>
      </c>
      <c r="D12" s="7">
        <v>0</v>
      </c>
      <c r="E12" s="9">
        <f t="shared" si="0"/>
        <v>60</v>
      </c>
    </row>
    <row r="13" spans="1:5" s="26" customFormat="1" ht="18.5" customHeight="1" x14ac:dyDescent="0.35">
      <c r="A13" s="5"/>
      <c r="B13" s="7"/>
      <c r="C13" s="7"/>
      <c r="D13" s="7"/>
      <c r="E13" s="9"/>
    </row>
    <row r="14" spans="1:5" s="26" customFormat="1" ht="18.5" customHeight="1" x14ac:dyDescent="0.35">
      <c r="A14" s="5"/>
      <c r="B14" s="7"/>
      <c r="C14" s="7"/>
      <c r="D14" s="7"/>
      <c r="E14" s="7"/>
    </row>
    <row r="15" spans="1:5" ht="18.5" customHeight="1" x14ac:dyDescent="0.35">
      <c r="A15" s="10" t="s">
        <v>31</v>
      </c>
      <c r="B15" s="11">
        <v>6830034.5999999996</v>
      </c>
      <c r="C15" s="11">
        <v>8912187.4999999981</v>
      </c>
      <c r="D15" s="11">
        <v>5513911.7000000002</v>
      </c>
      <c r="E15" s="12">
        <f>B15+C15+D15</f>
        <v>21256133.799999997</v>
      </c>
    </row>
    <row r="16" spans="1:5" ht="18.5" customHeight="1" x14ac:dyDescent="0.35">
      <c r="A16" s="10" t="s">
        <v>6</v>
      </c>
      <c r="B16" s="11">
        <v>7855736</v>
      </c>
      <c r="C16" s="11">
        <v>9457958</v>
      </c>
      <c r="D16" s="11">
        <v>10383816</v>
      </c>
      <c r="E16" s="12">
        <f>SUM(B16:D16)</f>
        <v>27697510</v>
      </c>
    </row>
    <row r="17" spans="1:5" s="3" customFormat="1" ht="18.5" customHeight="1" x14ac:dyDescent="0.35">
      <c r="A17" s="10" t="s">
        <v>46</v>
      </c>
      <c r="B17" s="11"/>
      <c r="C17" s="11"/>
      <c r="D17" s="11"/>
      <c r="E17" s="12">
        <f>(17616799+14990602)/2</f>
        <v>16303700.5</v>
      </c>
    </row>
    <row r="18" spans="1:5" s="3" customFormat="1" ht="18.5" customHeight="1" x14ac:dyDescent="0.35">
      <c r="A18" s="10" t="s">
        <v>36</v>
      </c>
      <c r="B18" s="11"/>
      <c r="C18" s="11"/>
      <c r="D18" s="11"/>
      <c r="E18" s="12">
        <f>E17/E15*90</f>
        <v>69.031041054135642</v>
      </c>
    </row>
    <row r="19" spans="1:5" s="3" customFormat="1" ht="18.5" customHeight="1" x14ac:dyDescent="0.35">
      <c r="A19" s="10" t="s">
        <v>37</v>
      </c>
      <c r="B19" s="11"/>
      <c r="C19" s="11"/>
      <c r="D19" s="11"/>
      <c r="E19" s="12">
        <v>3927501</v>
      </c>
    </row>
    <row r="20" spans="1:5" s="3" customFormat="1" ht="18.5" customHeight="1" x14ac:dyDescent="0.35">
      <c r="A20" s="10" t="s">
        <v>38</v>
      </c>
      <c r="B20" s="11"/>
      <c r="C20" s="11"/>
      <c r="D20" s="11"/>
      <c r="E20" s="12">
        <v>14995602</v>
      </c>
    </row>
    <row r="21" spans="1:5" ht="18.5" customHeight="1" x14ac:dyDescent="0.35">
      <c r="A21" s="10" t="s">
        <v>32</v>
      </c>
      <c r="B21" s="11"/>
      <c r="C21" s="11"/>
      <c r="D21" s="11"/>
      <c r="E21" s="13">
        <f>E19/E20</f>
        <v>0.26191019206831445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/>
  </sheetViews>
  <sheetFormatPr defaultColWidth="8.81640625" defaultRowHeight="14.5" x14ac:dyDescent="0.35"/>
  <cols>
    <col min="1" max="1" width="65.81640625" style="3" customWidth="1"/>
    <col min="2" max="2" width="11" style="3" customWidth="1"/>
    <col min="3" max="5" width="12" style="3" customWidth="1"/>
    <col min="6" max="6" width="10.453125" style="3" bestFit="1" customWidth="1"/>
    <col min="7" max="16384" width="8.81640625" style="3"/>
  </cols>
  <sheetData>
    <row r="1" spans="1:6" s="17" customFormat="1" x14ac:dyDescent="0.35">
      <c r="A1" s="18" t="s">
        <v>45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76</v>
      </c>
    </row>
    <row r="2" spans="1:6" s="17" customFormat="1" x14ac:dyDescent="0.35">
      <c r="A2" s="19" t="s">
        <v>54</v>
      </c>
      <c r="B2" s="20">
        <v>627251.5</v>
      </c>
      <c r="C2" s="20">
        <v>643750</v>
      </c>
      <c r="D2" s="20"/>
      <c r="E2" s="20">
        <v>1271001.5</v>
      </c>
      <c r="F2" s="28">
        <f>E2/E$24</f>
        <v>5.9794575625036747E-2</v>
      </c>
    </row>
    <row r="3" spans="1:6" s="17" customFormat="1" x14ac:dyDescent="0.35">
      <c r="A3" s="19" t="s">
        <v>55</v>
      </c>
      <c r="B3" s="20">
        <v>104000</v>
      </c>
      <c r="C3" s="20">
        <v>95000</v>
      </c>
      <c r="D3" s="20">
        <v>95000</v>
      </c>
      <c r="E3" s="20">
        <v>294000</v>
      </c>
      <c r="F3" s="28">
        <f t="shared" ref="F3:F23" si="0">E3/E$24</f>
        <v>1.3831301720541481E-2</v>
      </c>
    </row>
    <row r="4" spans="1:6" s="17" customFormat="1" x14ac:dyDescent="0.35">
      <c r="A4" s="19" t="s">
        <v>56</v>
      </c>
      <c r="B4" s="20">
        <v>150000</v>
      </c>
      <c r="C4" s="20">
        <v>173250</v>
      </c>
      <c r="D4" s="20">
        <v>235243.2</v>
      </c>
      <c r="E4" s="20">
        <v>558493.19999999995</v>
      </c>
      <c r="F4" s="28">
        <f t="shared" si="0"/>
        <v>2.6274448836975228E-2</v>
      </c>
    </row>
    <row r="5" spans="1:6" s="17" customFormat="1" x14ac:dyDescent="0.35">
      <c r="A5" s="19" t="s">
        <v>57</v>
      </c>
      <c r="B5" s="20"/>
      <c r="C5" s="20">
        <v>489521</v>
      </c>
      <c r="D5" s="20">
        <v>182500</v>
      </c>
      <c r="E5" s="20">
        <v>672021</v>
      </c>
      <c r="F5" s="28">
        <f t="shared" si="0"/>
        <v>3.161539188278914E-2</v>
      </c>
    </row>
    <row r="6" spans="1:6" s="14" customFormat="1" x14ac:dyDescent="0.35">
      <c r="A6" s="19" t="s">
        <v>58</v>
      </c>
      <c r="B6" s="20"/>
      <c r="C6" s="20">
        <v>40194</v>
      </c>
      <c r="D6" s="20"/>
      <c r="E6" s="20">
        <v>40194</v>
      </c>
      <c r="F6" s="28">
        <f t="shared" si="0"/>
        <v>1.8909365352225997E-3</v>
      </c>
    </row>
    <row r="7" spans="1:6" s="14" customFormat="1" x14ac:dyDescent="0.35">
      <c r="A7" s="19" t="s">
        <v>59</v>
      </c>
      <c r="B7" s="20"/>
      <c r="C7" s="20">
        <v>71401.5</v>
      </c>
      <c r="D7" s="20"/>
      <c r="E7" s="20">
        <v>71401.5</v>
      </c>
      <c r="F7" s="28">
        <f t="shared" si="0"/>
        <v>3.3591009857117096E-3</v>
      </c>
    </row>
    <row r="8" spans="1:6" x14ac:dyDescent="0.35">
      <c r="A8" s="19" t="s">
        <v>60</v>
      </c>
      <c r="B8" s="20">
        <v>333120</v>
      </c>
      <c r="C8" s="20">
        <v>347326</v>
      </c>
      <c r="D8" s="20"/>
      <c r="E8" s="20">
        <v>680446</v>
      </c>
      <c r="F8" s="28">
        <f t="shared" si="0"/>
        <v>3.2011748063046151E-2</v>
      </c>
    </row>
    <row r="9" spans="1:6" x14ac:dyDescent="0.35">
      <c r="A9" s="19" t="s">
        <v>61</v>
      </c>
      <c r="B9" s="20">
        <v>519450</v>
      </c>
      <c r="C9" s="20">
        <v>794000</v>
      </c>
      <c r="D9" s="20"/>
      <c r="E9" s="20">
        <v>1313450</v>
      </c>
      <c r="F9" s="28">
        <f t="shared" si="0"/>
        <v>6.1791575662738803E-2</v>
      </c>
    </row>
    <row r="10" spans="1:6" x14ac:dyDescent="0.35">
      <c r="A10" s="19" t="s">
        <v>62</v>
      </c>
      <c r="B10" s="20">
        <v>178591.8</v>
      </c>
      <c r="C10" s="20">
        <v>232242.6</v>
      </c>
      <c r="D10" s="20"/>
      <c r="E10" s="20">
        <v>410834.4</v>
      </c>
      <c r="F10" s="28">
        <f t="shared" si="0"/>
        <v>1.9327804569991929E-2</v>
      </c>
    </row>
    <row r="11" spans="1:6" x14ac:dyDescent="0.35">
      <c r="A11" s="19" t="s">
        <v>63</v>
      </c>
      <c r="B11" s="20">
        <v>52500</v>
      </c>
      <c r="C11" s="20">
        <v>409315</v>
      </c>
      <c r="D11" s="20">
        <v>80250</v>
      </c>
      <c r="E11" s="20">
        <v>542065</v>
      </c>
      <c r="F11" s="28">
        <f t="shared" si="0"/>
        <v>2.5501580160358226E-2</v>
      </c>
    </row>
    <row r="12" spans="1:6" x14ac:dyDescent="0.35">
      <c r="A12" s="19" t="s">
        <v>64</v>
      </c>
      <c r="B12" s="20">
        <v>1012991</v>
      </c>
      <c r="C12" s="20">
        <v>1243407</v>
      </c>
      <c r="D12" s="20">
        <v>739721.1</v>
      </c>
      <c r="E12" s="20">
        <v>2996119.1</v>
      </c>
      <c r="F12" s="28">
        <f t="shared" si="0"/>
        <v>0.14095315395502447</v>
      </c>
    </row>
    <row r="13" spans="1:6" x14ac:dyDescent="0.35">
      <c r="A13" s="19" t="s">
        <v>65</v>
      </c>
      <c r="B13" s="20">
        <v>817700</v>
      </c>
      <c r="C13" s="20">
        <v>19200</v>
      </c>
      <c r="D13" s="20">
        <v>346700</v>
      </c>
      <c r="E13" s="20">
        <v>1183600</v>
      </c>
      <c r="F13" s="28">
        <f t="shared" si="0"/>
        <v>5.5682750736166318E-2</v>
      </c>
    </row>
    <row r="14" spans="1:6" x14ac:dyDescent="0.35">
      <c r="A14" s="19" t="s">
        <v>66</v>
      </c>
      <c r="B14" s="20">
        <v>362581.3</v>
      </c>
      <c r="C14" s="20">
        <v>336756.6</v>
      </c>
      <c r="D14" s="20">
        <v>200000</v>
      </c>
      <c r="E14" s="20">
        <v>899337.89999999991</v>
      </c>
      <c r="F14" s="28">
        <f t="shared" si="0"/>
        <v>4.230957089666041E-2</v>
      </c>
    </row>
    <row r="15" spans="1:6" x14ac:dyDescent="0.35">
      <c r="A15" s="19" t="s">
        <v>67</v>
      </c>
      <c r="B15" s="20"/>
      <c r="C15" s="20"/>
      <c r="D15" s="20">
        <v>37776.6</v>
      </c>
      <c r="E15" s="20">
        <v>37776.6</v>
      </c>
      <c r="F15" s="28">
        <f t="shared" si="0"/>
        <v>1.7772093625041065E-3</v>
      </c>
    </row>
    <row r="16" spans="1:6" x14ac:dyDescent="0.35">
      <c r="A16" s="19" t="s">
        <v>68</v>
      </c>
      <c r="B16" s="20">
        <v>105000</v>
      </c>
      <c r="C16" s="20">
        <v>270620</v>
      </c>
      <c r="D16" s="20"/>
      <c r="E16" s="20">
        <v>375620</v>
      </c>
      <c r="F16" s="28">
        <f t="shared" si="0"/>
        <v>1.7671134531529901E-2</v>
      </c>
    </row>
    <row r="17" spans="1:6" x14ac:dyDescent="0.35">
      <c r="A17" s="19" t="s">
        <v>69</v>
      </c>
      <c r="B17" s="20"/>
      <c r="C17" s="20">
        <v>575000</v>
      </c>
      <c r="D17" s="20"/>
      <c r="E17" s="20">
        <v>575000</v>
      </c>
      <c r="F17" s="28">
        <f t="shared" si="0"/>
        <v>2.7051015269766502E-2</v>
      </c>
    </row>
    <row r="18" spans="1:6" x14ac:dyDescent="0.35">
      <c r="A18" s="19" t="s">
        <v>70</v>
      </c>
      <c r="B18" s="20"/>
      <c r="C18" s="20">
        <v>84965.45</v>
      </c>
      <c r="D18" s="20">
        <v>150415.4</v>
      </c>
      <c r="E18" s="20">
        <v>235380.84999999998</v>
      </c>
      <c r="F18" s="28">
        <f t="shared" si="0"/>
        <v>1.1073549508801074E-2</v>
      </c>
    </row>
    <row r="19" spans="1:6" x14ac:dyDescent="0.35">
      <c r="A19" s="19" t="s">
        <v>71</v>
      </c>
      <c r="B19" s="20">
        <v>412182.6</v>
      </c>
      <c r="C19" s="20">
        <v>735357.6</v>
      </c>
      <c r="D19" s="20">
        <v>682355.7</v>
      </c>
      <c r="E19" s="20">
        <v>1829895.9</v>
      </c>
      <c r="F19" s="28">
        <f t="shared" si="0"/>
        <v>8.6087899013883681E-2</v>
      </c>
    </row>
    <row r="20" spans="1:6" x14ac:dyDescent="0.35">
      <c r="A20" s="19" t="s">
        <v>72</v>
      </c>
      <c r="B20" s="20">
        <v>568416.4</v>
      </c>
      <c r="C20" s="20">
        <v>696368.8</v>
      </c>
      <c r="D20" s="20">
        <v>678303.2</v>
      </c>
      <c r="E20" s="20">
        <v>1943088.4000000001</v>
      </c>
      <c r="F20" s="28">
        <f t="shared" si="0"/>
        <v>9.141306778940203E-2</v>
      </c>
    </row>
    <row r="21" spans="1:6" x14ac:dyDescent="0.35">
      <c r="A21" s="19" t="s">
        <v>73</v>
      </c>
      <c r="B21" s="20">
        <v>1476250</v>
      </c>
      <c r="C21" s="20">
        <v>1080200</v>
      </c>
      <c r="D21" s="20">
        <v>1092050</v>
      </c>
      <c r="E21" s="20">
        <v>3648500</v>
      </c>
      <c r="F21" s="28">
        <f t="shared" si="0"/>
        <v>0.17164457254216189</v>
      </c>
    </row>
    <row r="22" spans="1:6" x14ac:dyDescent="0.35">
      <c r="A22" s="19" t="s">
        <v>74</v>
      </c>
      <c r="B22" s="20">
        <v>110000</v>
      </c>
      <c r="C22" s="20">
        <v>355942.35</v>
      </c>
      <c r="D22" s="20">
        <v>837800</v>
      </c>
      <c r="E22" s="20">
        <v>1303742.3500000001</v>
      </c>
      <c r="F22" s="28">
        <f t="shared" si="0"/>
        <v>6.1334876900332638E-2</v>
      </c>
    </row>
    <row r="23" spans="1:6" x14ac:dyDescent="0.35">
      <c r="A23" s="19" t="s">
        <v>75</v>
      </c>
      <c r="B23" s="20"/>
      <c r="C23" s="20">
        <v>218369.6</v>
      </c>
      <c r="D23" s="20">
        <v>155796.5</v>
      </c>
      <c r="E23" s="20">
        <v>374166.1</v>
      </c>
      <c r="F23" s="28">
        <f t="shared" si="0"/>
        <v>1.7602735451354747E-2</v>
      </c>
    </row>
    <row r="24" spans="1:6" x14ac:dyDescent="0.35">
      <c r="A24" s="21" t="s">
        <v>42</v>
      </c>
      <c r="B24" s="22">
        <v>6830034.5999999996</v>
      </c>
      <c r="C24" s="22">
        <v>8912187.4999999981</v>
      </c>
      <c r="D24" s="22">
        <v>5513911.7000000002</v>
      </c>
      <c r="E24" s="22">
        <v>21256133.800000004</v>
      </c>
      <c r="F24" s="5"/>
    </row>
    <row r="25" spans="1:6" s="15" customFormat="1" x14ac:dyDescent="0.35">
      <c r="A25" s="23"/>
      <c r="B25" s="24"/>
      <c r="C25" s="24"/>
      <c r="D25" s="24"/>
      <c r="E25" s="24"/>
    </row>
    <row r="26" spans="1:6" s="15" customFormat="1" x14ac:dyDescent="0.35">
      <c r="A26" s="23"/>
      <c r="B26" s="24"/>
      <c r="C26" s="24"/>
      <c r="D26" s="24"/>
      <c r="E26" s="24"/>
    </row>
    <row r="27" spans="1:6" s="16" customFormat="1" ht="18.5" customHeight="1" x14ac:dyDescent="0.35">
      <c r="A27" s="10" t="s">
        <v>5</v>
      </c>
      <c r="B27" s="11">
        <f>COUNT(B2:B23)</f>
        <v>15</v>
      </c>
      <c r="C27" s="11">
        <f t="shared" ref="C27:E27" si="1">COUNT(C2:C23)</f>
        <v>21</v>
      </c>
      <c r="D27" s="11">
        <f t="shared" si="1"/>
        <v>14</v>
      </c>
      <c r="E27" s="12">
        <f t="shared" si="1"/>
        <v>22</v>
      </c>
    </row>
    <row r="28" spans="1:6" s="16" customFormat="1" ht="18.5" customHeight="1" x14ac:dyDescent="0.35">
      <c r="A28" s="10" t="s">
        <v>35</v>
      </c>
      <c r="B28" s="11">
        <v>24</v>
      </c>
      <c r="C28" s="11">
        <v>28</v>
      </c>
      <c r="D28" s="11">
        <v>18</v>
      </c>
      <c r="E28" s="11"/>
    </row>
    <row r="29" spans="1:6" s="16" customFormat="1" x14ac:dyDescent="0.35">
      <c r="A29" s="10" t="s">
        <v>33</v>
      </c>
      <c r="B29" s="11"/>
      <c r="C29" s="11"/>
      <c r="D29" s="11"/>
      <c r="E29" s="12"/>
    </row>
    <row r="30" spans="1:6" s="16" customFormat="1" x14ac:dyDescent="0.35">
      <c r="A30" s="10" t="s">
        <v>34</v>
      </c>
      <c r="B30" s="11"/>
      <c r="C30" s="11"/>
      <c r="D30" s="11"/>
      <c r="E30" s="12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31" t="s">
        <v>7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2026-07-14T15:23:40Z</dcterms:modified>
</cp:coreProperties>
</file>