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Sales'!$A$6:$E$65</definedName>
  </definedNames>
  <calcPr calcId="152511"/>
</workbook>
</file>

<file path=xl/calcChain.xml><?xml version="1.0" encoding="utf-8"?>
<calcChain xmlns="http://schemas.openxmlformats.org/spreadsheetml/2006/main">
  <c r="E12" i="1" l="1"/>
  <c r="E11" i="1"/>
  <c r="E9" i="1"/>
  <c r="E5" i="1"/>
  <c r="E6" i="1"/>
  <c r="E24" i="1" l="1"/>
  <c r="E21" i="1"/>
  <c r="E20" i="1"/>
  <c r="E18" i="1"/>
  <c r="E7" i="1"/>
  <c r="E16" i="1"/>
  <c r="E15" i="1"/>
  <c r="E14" i="1"/>
  <c r="E62" i="4"/>
  <c r="D62" i="4"/>
  <c r="C62" i="4"/>
  <c r="B62" i="4"/>
  <c r="E19" i="1" l="1"/>
  <c r="E13" i="1" l="1"/>
  <c r="E4" i="1" l="1"/>
  <c r="E10" i="1"/>
  <c r="E8" i="1"/>
</calcChain>
</file>

<file path=xl/sharedStrings.xml><?xml version="1.0" encoding="utf-8"?>
<sst xmlns="http://schemas.openxmlformats.org/spreadsheetml/2006/main" count="117" uniqueCount="116">
  <si>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</si>
  <si>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</si>
  <si>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</si>
  <si>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</si>
  <si>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</si>
  <si>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</si>
  <si>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</si>
  <si>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</si>
  <si>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</si>
  <si>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</si>
  <si>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</si>
  <si>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</si>
  <si>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</si>
  <si>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</si>
  <si>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</si>
  <si>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</si>
  <si>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</si>
  <si>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</si>
  <si>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</si>
  <si>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</si>
  <si>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</si>
  <si>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</si>
  <si>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</si>
  <si>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</si>
  <si>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</si>
  <si>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</si>
  <si>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</si>
  <si>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</si>
  <si>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</si>
  <si>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</si>
  <si>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</si>
  <si>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</si>
  <si>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</si>
  <si>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</si>
  <si>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</si>
  <si>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</si>
  <si>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</si>
  <si>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</si>
  <si>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</si>
  <si>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</si>
  <si>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</si>
  <si>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</si>
  <si>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Average Debtor (Closing Debtor+Opning Debtor)/2</t>
  </si>
  <si>
    <t>Raj Upadhyay Template - Business at a Glance (Quarter 1)</t>
  </si>
  <si>
    <t>ANANYA GRAPHIC PROP ABHISHEK SAXENA (NOIDA)</t>
  </si>
  <si>
    <t>APRAJITA PACKAGING PROP : RUNU MISHRA</t>
  </si>
  <si>
    <t>ASTHA TRADING CO PROP.SANDEEP BHANDARI</t>
  </si>
  <si>
    <t>ATAM LABELS PROP NEERAJ JAIN</t>
  </si>
  <si>
    <t>BAR CODE INC. PROP BISRAM SINGH</t>
  </si>
  <si>
    <t>CALIBER PRINTS PROP RANDHIR SINGH RANA</t>
  </si>
  <si>
    <t>CHEHAK PAPERS PRIVATE LIMITED</t>
  </si>
  <si>
    <t>CLASSIC PAPERS- DELHI</t>
  </si>
  <si>
    <t>CREATIVE CART PAPERS</t>
  </si>
  <si>
    <t>DEEKSHA ENTERPRISES PROP MADHU DUBEY</t>
  </si>
  <si>
    <t>DEEP SALES PROP.SANJEEV NIGAM</t>
  </si>
  <si>
    <t>DIPS TECHNOLOGIES PRIVATE LIMITED</t>
  </si>
  <si>
    <t>FAB FILES INDIA PRIVATE LIMITED</t>
  </si>
  <si>
    <t>FEATHER GRAPHICS INDIA PRIVATE LIMITED</t>
  </si>
  <si>
    <t>FUMBH PACKAGING SOLUTIONS PROP.ZAHID RAFIQ</t>
  </si>
  <si>
    <t>GAYATRI LABEL PROP.MAAN KANWAR BHATT</t>
  </si>
  <si>
    <t>HARBATI'S SON'S PRIVATE LIMITED</t>
  </si>
  <si>
    <t>HARISH PACKAGING MATERIALS PROP HARISH JUNEJA</t>
  </si>
  <si>
    <t>HOLOSTIK INDIA LTD.(G. NOIDA)</t>
  </si>
  <si>
    <t>IMMENSE SOLUTIONS PRIVATE LIMITED</t>
  </si>
  <si>
    <t>INFINITY INDUSTRIES PVT.LTD.</t>
  </si>
  <si>
    <t>K V R INFOSYS PRIVATE LIMITED</t>
  </si>
  <si>
    <t>KAASHVI PRINTERS PVT.LTD.</t>
  </si>
  <si>
    <t>KHUSHI MARKETING PROP.AYUSH GUPTA</t>
  </si>
  <si>
    <t>KRETIVE ENTERPRISES PROP.POOJA BHATIA</t>
  </si>
  <si>
    <t>LAKSHAY TRADERS PROP.SUDHIR KUMAR</t>
  </si>
  <si>
    <t>MAHAVIRA PRINTERS PROP.SUNNY AGGARWAL</t>
  </si>
  <si>
    <t>NIPPON STEEL PIPE INDIA PRIVATE LIMITED</t>
  </si>
  <si>
    <t>PRINT ADVERT PROP.NOORIN KHAN</t>
  </si>
  <si>
    <t>PRISM OFFSET PRIVATE LIMITED (U.P)</t>
  </si>
  <si>
    <t>RAJ KAMAL CIRCUITS INDIA PROP.HANUMAN PRASAD</t>
  </si>
  <si>
    <t>RAJ UPADHYAY</t>
  </si>
  <si>
    <t>REBOXES INDIA PRIVATE LIMITED</t>
  </si>
  <si>
    <t>SAAKSHAT INTERNATIONAL PROP.VARUN JAIN</t>
  </si>
  <si>
    <t>SASTHI INFOTECH PROP.RAJ BHUSHAN JAIN</t>
  </si>
  <si>
    <t>SFP INDIA PROP. SANJEEV KUMAR</t>
  </si>
  <si>
    <t>SHARDA GRAPHICS PROP RAJNEESH VARSHNEY</t>
  </si>
  <si>
    <t>SHIV SADA SHIV INNOVATIONS</t>
  </si>
  <si>
    <t>SHREE GOPAL GRAPHICS  PROP. DEEPA</t>
  </si>
  <si>
    <t>SHRI GANESH LABELS PROP VIPIN KUMAR</t>
  </si>
  <si>
    <t>SHRI GANPATI SUDARSHAN PAPERS PRIVATE LIMITED</t>
  </si>
  <si>
    <t>SHRI SAI SHAKTI PRINTERS</t>
  </si>
  <si>
    <t>SHUBHAM ENTERPRISES PROP.BALESHWAR THAKUR</t>
  </si>
  <si>
    <t>SIGMA ENTERPRISES PROP.MANOJ CHUGH</t>
  </si>
  <si>
    <t>SILVER PRINT PROP.NARESH KUMAR</t>
  </si>
  <si>
    <t>SMASH AUTO PARTS PROP : HARESH KUMAR</t>
  </si>
  <si>
    <t>SMASH TAG HOUSE PROP.JATINDER KUMAR</t>
  </si>
  <si>
    <t>SNPS INDIA PROP.TANU SHARMA</t>
  </si>
  <si>
    <t>SQUARE PAPER CORPORATION PROP. AKSHAY SAINI</t>
  </si>
  <si>
    <t>STRATEGIC DESIGNS PVT. LTD.</t>
  </si>
  <si>
    <t>STUDIO SKYLINE GRAPHICS PRIVATE LIMITED</t>
  </si>
  <si>
    <t xml:space="preserve">SV COMMUNICATIONS PROP.SANTOSH KUMAR KUSHWAHA_x000D_
_x000D_
</t>
  </si>
  <si>
    <t>UNICORN PAPERS</t>
  </si>
  <si>
    <t>UNITED SALES CORPORATION PROP.MANJEET SINGH KALSI</t>
  </si>
  <si>
    <t>VAISHNAVI PAPER PRODUCTS PROP TANNU KUMARI</t>
  </si>
  <si>
    <t>V-DEFYN GRAPHICS PROP.SATYAWATI GUPTA</t>
  </si>
  <si>
    <t>WEE PRINT</t>
  </si>
  <si>
    <t>WORLD WINDOW PROP SACHIN TYAGI</t>
  </si>
  <si>
    <t>Client Name</t>
  </si>
  <si>
    <t>Self Adhesive (AMS)</t>
  </si>
  <si>
    <t>Cosmo Thermal / Amazing Media  (KG.)</t>
  </si>
  <si>
    <t>DU PONT</t>
  </si>
  <si>
    <t>OTHER</t>
  </si>
  <si>
    <t>Artica  (KG.)</t>
  </si>
  <si>
    <t>Sara Lam / Amazing Media (KG.)</t>
  </si>
  <si>
    <t>Sara Print / Amazing Media (ST)</t>
  </si>
  <si>
    <t>April Fine (Paper)/Paper And Board  (KG)</t>
  </si>
  <si>
    <t>Binding Board</t>
  </si>
  <si>
    <t>April Fine (Board)/Paper And Board  (KG)</t>
  </si>
  <si>
    <t>Cosmo / Amazing Media  (Roll, Kgs)</t>
  </si>
  <si>
    <t>Cosmo / Amazing Media  (Sheet, Nos.)</t>
  </si>
  <si>
    <t>Cosmo / Amazing Media  (Roll, 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</si>
</sst>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5.08984375" bestFit="1" customWidth="1"/>
    <col min="5" max="5" width="15.6328125" customWidth="1"/>
  </cols>
  <sheetData>
    <row r="1" spans="1:5" s="14" customFormat="1" ht="26.4" customHeight="1" x14ac:dyDescent="0.35">
      <c r="A1" s="28" t="s">
        <v>43</v>
      </c>
      <c r="B1" s="29"/>
      <c r="C1" s="29"/>
      <c r="D1" s="29"/>
      <c r="E1" s="29"/>
    </row>
    <row r="2" spans="1:5" ht="10.25" customHeight="1" x14ac:dyDescent="0.35">
      <c r="A2" s="5"/>
      <c r="B2" s="5"/>
      <c r="C2" s="5"/>
      <c r="D2" s="5"/>
      <c r="E2" s="5"/>
    </row>
    <row r="3" spans="1:5" s="14" customFormat="1" ht="21.65" customHeight="1" x14ac:dyDescent="0.35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</row>
    <row r="4" spans="1:5" ht="14.5" x14ac:dyDescent="0.35">
      <c r="A4" s="6" t="s">
        <v>112</v>
      </c>
      <c r="B4" s="7">
        <v>3137.4</v>
      </c>
      <c r="C4" s="7">
        <v>7072.84</v>
      </c>
      <c r="D4" s="7">
        <v>180.83</v>
      </c>
      <c r="E4" s="8">
        <f t="shared" ref="E4:E16" si="0">SUM(B4:D4)</f>
        <v>10391.07</v>
      </c>
    </row>
    <row r="5" spans="1:5" s="27" customFormat="1" ht="14.5" x14ac:dyDescent="0.35">
      <c r="A5" s="6" t="s">
        <v>110</v>
      </c>
      <c r="B5" s="7">
        <v>904.6</v>
      </c>
      <c r="C5" s="7">
        <v>2565.5500000000002</v>
      </c>
      <c r="D5" s="7">
        <v>1167.5899999999999</v>
      </c>
      <c r="E5" s="8">
        <f t="shared" si="0"/>
        <v>4637.74</v>
      </c>
    </row>
    <row r="6" spans="1:5" s="27" customFormat="1" ht="14.5" x14ac:dyDescent="0.35">
      <c r="A6" s="6" t="s">
        <v>111</v>
      </c>
      <c r="B6" s="7">
        <v>1687.36</v>
      </c>
      <c r="C6" s="7">
        <v>0</v>
      </c>
      <c r="D6" s="7">
        <v>1965.23</v>
      </c>
      <c r="E6" s="8">
        <f t="shared" si="0"/>
        <v>3652.59</v>
      </c>
    </row>
    <row r="7" spans="1:5" s="26" customFormat="1" ht="18.5" customHeight="1" x14ac:dyDescent="0.35">
      <c r="A7" s="5" t="s">
        <v>109</v>
      </c>
      <c r="B7" s="7">
        <v>600</v>
      </c>
      <c r="C7" s="7">
        <v>18600</v>
      </c>
      <c r="D7" s="7">
        <v>0</v>
      </c>
      <c r="E7" s="8">
        <f t="shared" si="0"/>
        <v>19200</v>
      </c>
    </row>
    <row r="8" spans="1:5" ht="18.5" customHeight="1" x14ac:dyDescent="0.35">
      <c r="A8" s="5" t="s">
        <v>108</v>
      </c>
      <c r="B8" s="7">
        <v>252.5</v>
      </c>
      <c r="C8" s="7">
        <v>266.95</v>
      </c>
      <c r="D8" s="7">
        <v>265.39999999999998</v>
      </c>
      <c r="E8" s="8">
        <f t="shared" si="0"/>
        <v>784.85</v>
      </c>
    </row>
    <row r="9" spans="1:5" s="26" customFormat="1" ht="18.5" customHeight="1" x14ac:dyDescent="0.35">
      <c r="A9" s="5" t="s">
        <v>104</v>
      </c>
      <c r="B9" s="7">
        <v>0</v>
      </c>
      <c r="C9" s="7">
        <v>0</v>
      </c>
      <c r="D9" s="7">
        <v>0</v>
      </c>
      <c r="E9" s="8">
        <f t="shared" si="0"/>
        <v>0</v>
      </c>
    </row>
    <row r="10" spans="1:5" ht="18.5" customHeight="1" x14ac:dyDescent="0.35">
      <c r="A10" s="5" t="s">
        <v>114</v>
      </c>
      <c r="B10" s="7">
        <v>241865</v>
      </c>
      <c r="C10" s="7">
        <v>224405</v>
      </c>
      <c r="D10" s="7">
        <v>301055</v>
      </c>
      <c r="E10" s="8">
        <f t="shared" si="0"/>
        <v>767325</v>
      </c>
    </row>
    <row r="11" spans="1:5" s="27" customFormat="1" ht="18.5" customHeight="1" x14ac:dyDescent="0.35">
      <c r="A11" s="5" t="s">
        <v>113</v>
      </c>
      <c r="B11" s="7">
        <v>2020</v>
      </c>
      <c r="C11" s="7">
        <v>7542.42</v>
      </c>
      <c r="D11" s="7">
        <v>7313.69</v>
      </c>
      <c r="E11" s="8">
        <f t="shared" si="0"/>
        <v>16876.11</v>
      </c>
    </row>
    <row r="12" spans="1:5" s="27" customFormat="1" ht="18.5" customHeight="1" x14ac:dyDescent="0.35">
      <c r="A12" s="5" t="s">
        <v>115</v>
      </c>
      <c r="B12" s="7">
        <v>24921.63</v>
      </c>
      <c r="C12" s="7">
        <v>19080.75</v>
      </c>
      <c r="D12" s="7">
        <v>10121.73</v>
      </c>
      <c r="E12" s="8">
        <f t="shared" ref="E12" si="1">SUM(B12:D12)</f>
        <v>54124.11</v>
      </c>
    </row>
    <row r="13" spans="1:5" ht="18.5" customHeight="1" x14ac:dyDescent="0.35">
      <c r="A13" s="5" t="s">
        <v>107</v>
      </c>
      <c r="B13" s="7">
        <v>1693.84</v>
      </c>
      <c r="C13" s="7">
        <v>3336.96</v>
      </c>
      <c r="D13" s="7">
        <v>2248.3000000000002</v>
      </c>
      <c r="E13" s="9">
        <f t="shared" si="0"/>
        <v>7279.1</v>
      </c>
    </row>
    <row r="14" spans="1:5" ht="18.5" customHeight="1" x14ac:dyDescent="0.35">
      <c r="A14" s="5" t="s">
        <v>103</v>
      </c>
      <c r="B14" s="7">
        <v>5000</v>
      </c>
      <c r="C14" s="7">
        <v>0</v>
      </c>
      <c r="D14" s="7">
        <v>4800</v>
      </c>
      <c r="E14" s="9">
        <f t="shared" si="0"/>
        <v>9800</v>
      </c>
    </row>
    <row r="15" spans="1:5" s="26" customFormat="1" ht="18.5" customHeight="1" x14ac:dyDescent="0.35">
      <c r="A15" s="5" t="s">
        <v>105</v>
      </c>
      <c r="B15" s="7">
        <v>6022.85</v>
      </c>
      <c r="C15" s="7">
        <v>2209.39</v>
      </c>
      <c r="D15" s="7">
        <v>14138.23</v>
      </c>
      <c r="E15" s="9">
        <f t="shared" si="0"/>
        <v>22370.47</v>
      </c>
    </row>
    <row r="16" spans="1:5" ht="18.5" customHeight="1" x14ac:dyDescent="0.35">
      <c r="A16" s="5" t="s">
        <v>106</v>
      </c>
      <c r="B16" s="7"/>
      <c r="C16" s="7"/>
      <c r="D16" s="7"/>
      <c r="E16" s="9">
        <f t="shared" si="0"/>
        <v>0</v>
      </c>
    </row>
    <row r="17" spans="1:5" s="26" customFormat="1" ht="18.5" customHeight="1" x14ac:dyDescent="0.35">
      <c r="A17" s="5"/>
      <c r="B17" s="7"/>
      <c r="C17" s="7"/>
      <c r="D17" s="7"/>
      <c r="E17" s="7"/>
    </row>
    <row r="18" spans="1:5" ht="18.5" customHeight="1" x14ac:dyDescent="0.35">
      <c r="A18" s="10" t="s">
        <v>30</v>
      </c>
      <c r="B18" s="11">
        <v>6920344.4200000009</v>
      </c>
      <c r="C18" s="11">
        <v>8694752.9699999988</v>
      </c>
      <c r="D18" s="11">
        <v>8852548.5700000003</v>
      </c>
      <c r="E18" s="12">
        <f>B18+C18+D18</f>
        <v>24467645.960000001</v>
      </c>
    </row>
    <row r="19" spans="1:5" ht="18.5" customHeight="1" x14ac:dyDescent="0.35">
      <c r="A19" s="10" t="s">
        <v>6</v>
      </c>
      <c r="B19" s="11">
        <v>10084083</v>
      </c>
      <c r="C19" s="11">
        <v>11572485</v>
      </c>
      <c r="D19" s="11">
        <v>13739672</v>
      </c>
      <c r="E19" s="12">
        <f>SUM(B19:D19)</f>
        <v>35396240</v>
      </c>
    </row>
    <row r="20" spans="1:5" s="3" customFormat="1" ht="18.5" customHeight="1" x14ac:dyDescent="0.35">
      <c r="A20" s="10" t="s">
        <v>42</v>
      </c>
      <c r="B20" s="11"/>
      <c r="C20" s="11"/>
      <c r="D20" s="11"/>
      <c r="E20" s="12">
        <f>(15908205+11368602)/2</f>
        <v>13638403.5</v>
      </c>
    </row>
    <row r="21" spans="1:5" s="3" customFormat="1" ht="18.5" customHeight="1" x14ac:dyDescent="0.35">
      <c r="A21" s="10" t="s">
        <v>35</v>
      </c>
      <c r="B21" s="11"/>
      <c r="C21" s="11"/>
      <c r="D21" s="11"/>
      <c r="E21" s="12">
        <f>E20/E18*90</f>
        <v>50.166506291886854</v>
      </c>
    </row>
    <row r="22" spans="1:5" s="3" customFormat="1" ht="18.5" customHeight="1" x14ac:dyDescent="0.35">
      <c r="A22" s="10" t="s">
        <v>36</v>
      </c>
      <c r="B22" s="11"/>
      <c r="C22" s="11"/>
      <c r="D22" s="11"/>
      <c r="E22" s="12">
        <v>3545352</v>
      </c>
    </row>
    <row r="23" spans="1:5" s="3" customFormat="1" ht="18.5" customHeight="1" x14ac:dyDescent="0.35">
      <c r="A23" s="10" t="s">
        <v>37</v>
      </c>
      <c r="B23" s="11"/>
      <c r="C23" s="11"/>
      <c r="D23" s="11"/>
      <c r="E23" s="12">
        <v>11726268</v>
      </c>
    </row>
    <row r="24" spans="1:5" ht="18.5" customHeight="1" x14ac:dyDescent="0.35">
      <c r="A24" s="10" t="s">
        <v>31</v>
      </c>
      <c r="B24" s="11"/>
      <c r="C24" s="11"/>
      <c r="D24" s="11"/>
      <c r="E24" s="13">
        <f>E22/E23</f>
        <v>0.3023427402477924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A2" sqref="A2"/>
    </sheetView>
  </sheetViews>
  <sheetFormatPr defaultColWidth="8.81640625" defaultRowHeight="14.5" x14ac:dyDescent="0.35"/>
  <cols>
    <col min="1" max="1" width="65.81640625" style="3" customWidth="1"/>
    <col min="2" max="2" width="11" style="3" customWidth="1"/>
    <col min="3" max="5" width="12" style="3" customWidth="1"/>
    <col min="6" max="16384" width="8.81640625" style="3"/>
  </cols>
  <sheetData>
    <row r="1" spans="1:5" s="17" customFormat="1" x14ac:dyDescent="0.35">
      <c r="A1" s="18" t="s">
        <v>102</v>
      </c>
      <c r="B1" s="18" t="s">
        <v>38</v>
      </c>
      <c r="C1" s="18" t="s">
        <v>39</v>
      </c>
      <c r="D1" s="18" t="s">
        <v>40</v>
      </c>
      <c r="E1" s="18" t="s">
        <v>41</v>
      </c>
    </row>
    <row r="2" spans="1:5" s="17" customFormat="1" x14ac:dyDescent="0.35">
      <c r="A2" s="19" t="s">
        <v>44</v>
      </c>
      <c r="B2" s="20">
        <v>125000</v>
      </c>
      <c r="C2" s="20">
        <v>2030635.0499999998</v>
      </c>
      <c r="D2" s="20">
        <v>1882594.25</v>
      </c>
      <c r="E2" s="20">
        <v>4038229.3</v>
      </c>
    </row>
    <row r="3" spans="1:5" s="17" customFormat="1" x14ac:dyDescent="0.35">
      <c r="A3" s="19" t="s">
        <v>45</v>
      </c>
      <c r="B3" s="20"/>
      <c r="C3" s="20"/>
      <c r="D3" s="20">
        <v>20550</v>
      </c>
      <c r="E3" s="20">
        <v>20550</v>
      </c>
    </row>
    <row r="4" spans="1:5" s="17" customFormat="1" x14ac:dyDescent="0.35">
      <c r="A4" s="19" t="s">
        <v>46</v>
      </c>
      <c r="B4" s="20"/>
      <c r="C4" s="20">
        <v>39600</v>
      </c>
      <c r="D4" s="20"/>
      <c r="E4" s="20">
        <v>39600</v>
      </c>
    </row>
    <row r="5" spans="1:5" s="17" customFormat="1" x14ac:dyDescent="0.35">
      <c r="A5" s="19" t="s">
        <v>47</v>
      </c>
      <c r="B5" s="20"/>
      <c r="C5" s="20"/>
      <c r="D5" s="20">
        <v>550725</v>
      </c>
      <c r="E5" s="20">
        <v>550725</v>
      </c>
    </row>
    <row r="6" spans="1:5" s="14" customFormat="1" x14ac:dyDescent="0.35">
      <c r="A6" s="19" t="s">
        <v>48</v>
      </c>
      <c r="B6" s="20">
        <v>761540</v>
      </c>
      <c r="C6" s="20">
        <v>836902.3</v>
      </c>
      <c r="D6" s="20">
        <v>724386</v>
      </c>
      <c r="E6" s="20">
        <v>2322828.2999999998</v>
      </c>
    </row>
    <row r="7" spans="1:5" s="14" customFormat="1" x14ac:dyDescent="0.35">
      <c r="A7" s="19" t="s">
        <v>49</v>
      </c>
      <c r="B7" s="20"/>
      <c r="C7" s="20"/>
      <c r="D7" s="20">
        <v>55813.5</v>
      </c>
      <c r="E7" s="20">
        <v>55813.5</v>
      </c>
    </row>
    <row r="8" spans="1:5" x14ac:dyDescent="0.35">
      <c r="A8" s="19" t="s">
        <v>50</v>
      </c>
      <c r="B8" s="20">
        <v>36913.800000000003</v>
      </c>
      <c r="C8" s="20"/>
      <c r="D8" s="20"/>
      <c r="E8" s="20">
        <v>36913.800000000003</v>
      </c>
    </row>
    <row r="9" spans="1:5" x14ac:dyDescent="0.35">
      <c r="A9" s="19" t="s">
        <v>51</v>
      </c>
      <c r="B9" s="20">
        <v>149850</v>
      </c>
      <c r="C9" s="20">
        <v>46992</v>
      </c>
      <c r="D9" s="20">
        <v>41125</v>
      </c>
      <c r="E9" s="20">
        <v>237967</v>
      </c>
    </row>
    <row r="10" spans="1:5" x14ac:dyDescent="0.35">
      <c r="A10" s="19" t="s">
        <v>52</v>
      </c>
      <c r="B10" s="20"/>
      <c r="C10" s="20"/>
      <c r="D10" s="20">
        <v>5100</v>
      </c>
      <c r="E10" s="20">
        <v>5100</v>
      </c>
    </row>
    <row r="11" spans="1:5" x14ac:dyDescent="0.35">
      <c r="A11" s="19" t="s">
        <v>53</v>
      </c>
      <c r="B11" s="20"/>
      <c r="C11" s="20">
        <v>46736</v>
      </c>
      <c r="D11" s="20">
        <v>158610</v>
      </c>
      <c r="E11" s="20">
        <v>205346</v>
      </c>
    </row>
    <row r="12" spans="1:5" x14ac:dyDescent="0.35">
      <c r="A12" s="19" t="s">
        <v>54</v>
      </c>
      <c r="B12" s="20">
        <v>113150</v>
      </c>
      <c r="C12" s="20">
        <v>157155.20000000001</v>
      </c>
      <c r="D12" s="20">
        <v>158462</v>
      </c>
      <c r="E12" s="20">
        <v>428767.2</v>
      </c>
    </row>
    <row r="13" spans="1:5" x14ac:dyDescent="0.35">
      <c r="A13" s="19" t="s">
        <v>55</v>
      </c>
      <c r="B13" s="20">
        <v>1174000</v>
      </c>
      <c r="C13" s="20">
        <v>63336</v>
      </c>
      <c r="D13" s="20">
        <v>7050</v>
      </c>
      <c r="E13" s="20">
        <v>1244386</v>
      </c>
    </row>
    <row r="14" spans="1:5" x14ac:dyDescent="0.35">
      <c r="A14" s="19" t="s">
        <v>56</v>
      </c>
      <c r="B14" s="20">
        <v>73750</v>
      </c>
      <c r="C14" s="20">
        <v>133547.79999999999</v>
      </c>
      <c r="D14" s="20"/>
      <c r="E14" s="20">
        <v>207297.8</v>
      </c>
    </row>
    <row r="15" spans="1:5" x14ac:dyDescent="0.35">
      <c r="A15" s="19" t="s">
        <v>57</v>
      </c>
      <c r="B15" s="20">
        <v>32200</v>
      </c>
      <c r="C15" s="20">
        <v>44700</v>
      </c>
      <c r="D15" s="20"/>
      <c r="E15" s="20">
        <v>76900</v>
      </c>
    </row>
    <row r="16" spans="1:5" x14ac:dyDescent="0.35">
      <c r="A16" s="19" t="s">
        <v>58</v>
      </c>
      <c r="B16" s="20"/>
      <c r="C16" s="20">
        <v>2400</v>
      </c>
      <c r="D16" s="20"/>
      <c r="E16" s="20">
        <v>2400</v>
      </c>
    </row>
    <row r="17" spans="1:5" x14ac:dyDescent="0.35">
      <c r="A17" s="19" t="s">
        <v>59</v>
      </c>
      <c r="B17" s="20">
        <v>119250</v>
      </c>
      <c r="C17" s="20">
        <v>121900</v>
      </c>
      <c r="D17" s="20"/>
      <c r="E17" s="20">
        <v>241150</v>
      </c>
    </row>
    <row r="18" spans="1:5" x14ac:dyDescent="0.35">
      <c r="A18" s="19" t="s">
        <v>60</v>
      </c>
      <c r="B18" s="20"/>
      <c r="C18" s="20">
        <v>239676.51</v>
      </c>
      <c r="D18" s="20">
        <v>177294</v>
      </c>
      <c r="E18" s="20">
        <v>416970.51</v>
      </c>
    </row>
    <row r="19" spans="1:5" x14ac:dyDescent="0.35">
      <c r="A19" s="19" t="s">
        <v>61</v>
      </c>
      <c r="B19" s="20">
        <v>41148</v>
      </c>
      <c r="C19" s="20"/>
      <c r="D19" s="20"/>
      <c r="E19" s="20">
        <v>41148</v>
      </c>
    </row>
    <row r="20" spans="1:5" x14ac:dyDescent="0.35">
      <c r="A20" s="19" t="s">
        <v>62</v>
      </c>
      <c r="B20" s="20">
        <v>1662812.24</v>
      </c>
      <c r="C20" s="20">
        <v>1143161.27</v>
      </c>
      <c r="D20" s="20">
        <v>1221910.6400000001</v>
      </c>
      <c r="E20" s="20">
        <v>4027884.15</v>
      </c>
    </row>
    <row r="21" spans="1:5" x14ac:dyDescent="0.35">
      <c r="A21" s="19" t="s">
        <v>63</v>
      </c>
      <c r="B21" s="20"/>
      <c r="C21" s="20">
        <v>86625</v>
      </c>
      <c r="D21" s="20">
        <v>179030.82</v>
      </c>
      <c r="E21" s="20">
        <v>265655.82</v>
      </c>
    </row>
    <row r="22" spans="1:5" x14ac:dyDescent="0.35">
      <c r="A22" s="19" t="s">
        <v>64</v>
      </c>
      <c r="B22" s="20">
        <v>1650</v>
      </c>
      <c r="C22" s="20">
        <v>47850</v>
      </c>
      <c r="D22" s="20"/>
      <c r="E22" s="20">
        <v>49500</v>
      </c>
    </row>
    <row r="23" spans="1:5" x14ac:dyDescent="0.35">
      <c r="A23" s="19" t="s">
        <v>65</v>
      </c>
      <c r="B23" s="20"/>
      <c r="C23" s="20">
        <v>1527000</v>
      </c>
      <c r="D23" s="20"/>
      <c r="E23" s="20">
        <v>1527000</v>
      </c>
    </row>
    <row r="24" spans="1:5" x14ac:dyDescent="0.35">
      <c r="A24" s="19" t="s">
        <v>66</v>
      </c>
      <c r="B24" s="20">
        <v>3087</v>
      </c>
      <c r="C24" s="20">
        <v>40971.699999999997</v>
      </c>
      <c r="D24" s="20">
        <v>5343.53</v>
      </c>
      <c r="E24" s="20">
        <v>49402.229999999996</v>
      </c>
    </row>
    <row r="25" spans="1:5" x14ac:dyDescent="0.35">
      <c r="A25" s="19" t="s">
        <v>67</v>
      </c>
      <c r="B25" s="20">
        <v>38250</v>
      </c>
      <c r="C25" s="20">
        <v>149300</v>
      </c>
      <c r="D25" s="20">
        <v>187500</v>
      </c>
      <c r="E25" s="20">
        <v>375050</v>
      </c>
    </row>
    <row r="26" spans="1:5" x14ac:dyDescent="0.35">
      <c r="A26" s="19" t="s">
        <v>68</v>
      </c>
      <c r="B26" s="20">
        <v>624096.36</v>
      </c>
      <c r="C26" s="20">
        <v>60785</v>
      </c>
      <c r="D26" s="20">
        <v>362659.5</v>
      </c>
      <c r="E26" s="20">
        <v>1047540.86</v>
      </c>
    </row>
    <row r="27" spans="1:5" x14ac:dyDescent="0.35">
      <c r="A27" s="19" t="s">
        <v>69</v>
      </c>
      <c r="B27" s="20"/>
      <c r="C27" s="20">
        <v>55487.01</v>
      </c>
      <c r="D27" s="20"/>
      <c r="E27" s="20">
        <v>55487.01</v>
      </c>
    </row>
    <row r="28" spans="1:5" x14ac:dyDescent="0.35">
      <c r="A28" s="19" t="s">
        <v>70</v>
      </c>
      <c r="B28" s="20"/>
      <c r="C28" s="20"/>
      <c r="D28" s="20">
        <v>176250</v>
      </c>
      <c r="E28" s="20">
        <v>176250</v>
      </c>
    </row>
    <row r="29" spans="1:5" x14ac:dyDescent="0.35">
      <c r="A29" s="19" t="s">
        <v>71</v>
      </c>
      <c r="B29" s="20">
        <v>42500</v>
      </c>
      <c r="C29" s="20">
        <v>106250</v>
      </c>
      <c r="D29" s="20">
        <v>85000</v>
      </c>
      <c r="E29" s="20">
        <v>233750</v>
      </c>
    </row>
    <row r="30" spans="1:5" x14ac:dyDescent="0.35">
      <c r="A30" s="19" t="s">
        <v>72</v>
      </c>
      <c r="B30" s="20"/>
      <c r="C30" s="20">
        <v>43275</v>
      </c>
      <c r="D30" s="20">
        <v>52875</v>
      </c>
      <c r="E30" s="20">
        <v>96150</v>
      </c>
    </row>
    <row r="31" spans="1:5" x14ac:dyDescent="0.35">
      <c r="A31" s="19" t="s">
        <v>73</v>
      </c>
      <c r="B31" s="20">
        <v>144775</v>
      </c>
      <c r="C31" s="20">
        <v>73185</v>
      </c>
      <c r="D31" s="20">
        <v>97550</v>
      </c>
      <c r="E31" s="20">
        <v>315510</v>
      </c>
    </row>
    <row r="32" spans="1:5" x14ac:dyDescent="0.35">
      <c r="A32" s="19" t="s">
        <v>74</v>
      </c>
      <c r="B32" s="20"/>
      <c r="C32" s="20"/>
      <c r="D32" s="20">
        <v>6000</v>
      </c>
      <c r="E32" s="20">
        <v>6000</v>
      </c>
    </row>
    <row r="33" spans="1:5" x14ac:dyDescent="0.35">
      <c r="A33" s="19" t="s">
        <v>75</v>
      </c>
      <c r="B33" s="20">
        <v>10734</v>
      </c>
      <c r="C33" s="20">
        <v>435.74</v>
      </c>
      <c r="D33" s="20">
        <v>4750</v>
      </c>
      <c r="E33" s="20">
        <v>15919.74</v>
      </c>
    </row>
    <row r="34" spans="1:5" x14ac:dyDescent="0.35">
      <c r="A34" s="19" t="s">
        <v>76</v>
      </c>
      <c r="B34" s="20"/>
      <c r="C34" s="20">
        <v>87081.7</v>
      </c>
      <c r="D34" s="20"/>
      <c r="E34" s="20">
        <v>87081.7</v>
      </c>
    </row>
    <row r="35" spans="1:5" x14ac:dyDescent="0.35">
      <c r="A35" s="19" t="s">
        <v>77</v>
      </c>
      <c r="B35" s="20">
        <v>130000</v>
      </c>
      <c r="C35" s="20">
        <v>28860</v>
      </c>
      <c r="D35" s="20"/>
      <c r="E35" s="20">
        <v>158860</v>
      </c>
    </row>
    <row r="36" spans="1:5" x14ac:dyDescent="0.35">
      <c r="A36" s="19" t="s">
        <v>78</v>
      </c>
      <c r="B36" s="20">
        <v>84600</v>
      </c>
      <c r="C36" s="20"/>
      <c r="D36" s="20"/>
      <c r="E36" s="20">
        <v>84600</v>
      </c>
    </row>
    <row r="37" spans="1:5" s="26" customFormat="1" x14ac:dyDescent="0.35">
      <c r="A37" s="19" t="s">
        <v>79</v>
      </c>
      <c r="B37" s="20"/>
      <c r="C37" s="20">
        <v>294166.2</v>
      </c>
      <c r="D37" s="20">
        <v>52938</v>
      </c>
      <c r="E37" s="20">
        <v>347104.2</v>
      </c>
    </row>
    <row r="38" spans="1:5" s="26" customFormat="1" x14ac:dyDescent="0.35">
      <c r="A38" s="19" t="s">
        <v>80</v>
      </c>
      <c r="B38" s="20">
        <v>38381.199999999997</v>
      </c>
      <c r="C38" s="20"/>
      <c r="D38" s="20"/>
      <c r="E38" s="20">
        <v>38381.199999999997</v>
      </c>
    </row>
    <row r="39" spans="1:5" s="26" customFormat="1" x14ac:dyDescent="0.35">
      <c r="A39" s="19" t="s">
        <v>81</v>
      </c>
      <c r="B39" s="20"/>
      <c r="C39" s="20"/>
      <c r="D39" s="20">
        <v>79380</v>
      </c>
      <c r="E39" s="20">
        <v>79380</v>
      </c>
    </row>
    <row r="40" spans="1:5" s="26" customFormat="1" x14ac:dyDescent="0.35">
      <c r="A40" s="19" t="s">
        <v>82</v>
      </c>
      <c r="B40" s="20">
        <v>5000</v>
      </c>
      <c r="C40" s="20"/>
      <c r="D40" s="20"/>
      <c r="E40" s="20">
        <v>5000</v>
      </c>
    </row>
    <row r="41" spans="1:5" s="26" customFormat="1" x14ac:dyDescent="0.35">
      <c r="A41" s="19" t="s">
        <v>83</v>
      </c>
      <c r="B41" s="20">
        <v>194999</v>
      </c>
      <c r="C41" s="20">
        <v>16920</v>
      </c>
      <c r="D41" s="20">
        <v>73837</v>
      </c>
      <c r="E41" s="20">
        <v>285756</v>
      </c>
    </row>
    <row r="42" spans="1:5" s="26" customFormat="1" x14ac:dyDescent="0.35">
      <c r="A42" s="19" t="s">
        <v>84</v>
      </c>
      <c r="B42" s="20">
        <v>22750</v>
      </c>
      <c r="C42" s="20">
        <v>27500</v>
      </c>
      <c r="D42" s="20"/>
      <c r="E42" s="20">
        <v>50250</v>
      </c>
    </row>
    <row r="43" spans="1:5" s="26" customFormat="1" x14ac:dyDescent="0.35">
      <c r="A43" s="19" t="s">
        <v>85</v>
      </c>
      <c r="B43" s="20">
        <v>50863.5</v>
      </c>
      <c r="C43" s="20">
        <v>84806.399999999994</v>
      </c>
      <c r="D43" s="20">
        <v>67542.13</v>
      </c>
      <c r="E43" s="20">
        <v>203212.03</v>
      </c>
    </row>
    <row r="44" spans="1:5" s="26" customFormat="1" x14ac:dyDescent="0.35">
      <c r="A44" s="19" t="s">
        <v>86</v>
      </c>
      <c r="B44" s="20"/>
      <c r="C44" s="20"/>
      <c r="D44" s="20">
        <v>129600</v>
      </c>
      <c r="E44" s="20">
        <v>129600</v>
      </c>
    </row>
    <row r="45" spans="1:5" s="26" customFormat="1" x14ac:dyDescent="0.35">
      <c r="A45" s="19" t="s">
        <v>87</v>
      </c>
      <c r="B45" s="20">
        <v>145850</v>
      </c>
      <c r="C45" s="20">
        <v>205620.64</v>
      </c>
      <c r="D45" s="20">
        <v>630513.19999999995</v>
      </c>
      <c r="E45" s="20">
        <v>981983.84</v>
      </c>
    </row>
    <row r="46" spans="1:5" s="26" customFormat="1" x14ac:dyDescent="0.35">
      <c r="A46" s="19" t="s">
        <v>88</v>
      </c>
      <c r="B46" s="20"/>
      <c r="C46" s="20">
        <v>77300</v>
      </c>
      <c r="D46" s="20">
        <v>123500</v>
      </c>
      <c r="E46" s="20">
        <v>200800</v>
      </c>
    </row>
    <row r="47" spans="1:5" s="26" customFormat="1" x14ac:dyDescent="0.35">
      <c r="A47" s="19" t="s">
        <v>89</v>
      </c>
      <c r="B47" s="20">
        <v>666420</v>
      </c>
      <c r="C47" s="20">
        <v>13241.25</v>
      </c>
      <c r="D47" s="20"/>
      <c r="E47" s="20">
        <v>679661.25</v>
      </c>
    </row>
    <row r="48" spans="1:5" s="26" customFormat="1" x14ac:dyDescent="0.35">
      <c r="A48" s="19" t="s">
        <v>90</v>
      </c>
      <c r="B48" s="20"/>
      <c r="C48" s="20"/>
      <c r="D48" s="20">
        <v>1103290</v>
      </c>
      <c r="E48" s="20">
        <v>1103290</v>
      </c>
    </row>
    <row r="49" spans="1:5" s="26" customFormat="1" x14ac:dyDescent="0.35">
      <c r="A49" s="19" t="s">
        <v>91</v>
      </c>
      <c r="B49" s="20">
        <v>60000</v>
      </c>
      <c r="C49" s="20"/>
      <c r="D49" s="20">
        <v>40976</v>
      </c>
      <c r="E49" s="20">
        <v>100976</v>
      </c>
    </row>
    <row r="50" spans="1:5" s="26" customFormat="1" x14ac:dyDescent="0.35">
      <c r="A50" s="19" t="s">
        <v>92</v>
      </c>
      <c r="B50" s="20">
        <v>102070.95999999999</v>
      </c>
      <c r="C50" s="20">
        <v>117603.2</v>
      </c>
      <c r="D50" s="20"/>
      <c r="E50" s="20">
        <v>219674.15999999997</v>
      </c>
    </row>
    <row r="51" spans="1:5" s="26" customFormat="1" x14ac:dyDescent="0.35">
      <c r="A51" s="19" t="s">
        <v>93</v>
      </c>
      <c r="B51" s="20">
        <v>1498.36</v>
      </c>
      <c r="C51" s="20"/>
      <c r="D51" s="20">
        <v>86250</v>
      </c>
      <c r="E51" s="20">
        <v>87748.36</v>
      </c>
    </row>
    <row r="52" spans="1:5" s="26" customFormat="1" x14ac:dyDescent="0.35">
      <c r="A52" s="19" t="s">
        <v>94</v>
      </c>
      <c r="B52" s="20"/>
      <c r="C52" s="20">
        <v>6800</v>
      </c>
      <c r="D52" s="20"/>
      <c r="E52" s="20">
        <v>6800</v>
      </c>
    </row>
    <row r="53" spans="1:5" s="26" customFormat="1" x14ac:dyDescent="0.35">
      <c r="A53" s="19" t="s">
        <v>95</v>
      </c>
      <c r="B53" s="20">
        <v>1300</v>
      </c>
      <c r="C53" s="20"/>
      <c r="D53" s="20"/>
      <c r="E53" s="20">
        <v>1300</v>
      </c>
    </row>
    <row r="54" spans="1:5" s="26" customFormat="1" x14ac:dyDescent="0.35">
      <c r="A54" s="19" t="s">
        <v>96</v>
      </c>
      <c r="B54" s="20">
        <v>257805</v>
      </c>
      <c r="C54" s="20">
        <v>49322</v>
      </c>
      <c r="D54" s="20">
        <v>142768</v>
      </c>
      <c r="E54" s="20">
        <v>449895</v>
      </c>
    </row>
    <row r="55" spans="1:5" s="26" customFormat="1" x14ac:dyDescent="0.35">
      <c r="A55" s="19" t="s">
        <v>97</v>
      </c>
      <c r="B55" s="20">
        <v>4100</v>
      </c>
      <c r="C55" s="20">
        <v>100000</v>
      </c>
      <c r="D55" s="20">
        <v>92000</v>
      </c>
      <c r="E55" s="20">
        <v>196100</v>
      </c>
    </row>
    <row r="56" spans="1:5" s="26" customFormat="1" x14ac:dyDescent="0.35">
      <c r="A56" s="19" t="s">
        <v>98</v>
      </c>
      <c r="B56" s="20"/>
      <c r="C56" s="20">
        <v>479325</v>
      </c>
      <c r="D56" s="20"/>
      <c r="E56" s="20">
        <v>479325</v>
      </c>
    </row>
    <row r="57" spans="1:5" s="26" customFormat="1" x14ac:dyDescent="0.35">
      <c r="A57" s="19" t="s">
        <v>99</v>
      </c>
      <c r="B57" s="20"/>
      <c r="C57" s="20"/>
      <c r="D57" s="20">
        <v>50000</v>
      </c>
      <c r="E57" s="20">
        <v>50000</v>
      </c>
    </row>
    <row r="58" spans="1:5" s="26" customFormat="1" x14ac:dyDescent="0.35">
      <c r="A58" s="19" t="s">
        <v>100</v>
      </c>
      <c r="B58" s="20"/>
      <c r="C58" s="20">
        <v>8300</v>
      </c>
      <c r="D58" s="20"/>
      <c r="E58" s="20">
        <v>8300</v>
      </c>
    </row>
    <row r="59" spans="1:5" s="26" customFormat="1" x14ac:dyDescent="0.35">
      <c r="A59" s="19" t="s">
        <v>101</v>
      </c>
      <c r="B59" s="20"/>
      <c r="C59" s="20"/>
      <c r="D59" s="20">
        <v>19375</v>
      </c>
      <c r="E59" s="20">
        <v>19375</v>
      </c>
    </row>
    <row r="60" spans="1:5" s="26" customFormat="1" x14ac:dyDescent="0.35">
      <c r="A60" s="21" t="s">
        <v>41</v>
      </c>
      <c r="B60" s="22">
        <v>6920344.4200000009</v>
      </c>
      <c r="C60" s="22">
        <v>8694752.9699999988</v>
      </c>
      <c r="D60" s="22">
        <v>8852548.5700000003</v>
      </c>
      <c r="E60" s="22">
        <v>24467645.960000001</v>
      </c>
    </row>
    <row r="61" spans="1:5" s="15" customFormat="1" x14ac:dyDescent="0.35">
      <c r="A61" s="23"/>
      <c r="B61" s="24"/>
      <c r="C61" s="24"/>
      <c r="D61" s="24"/>
      <c r="E61" s="24"/>
    </row>
    <row r="62" spans="1:5" s="16" customFormat="1" ht="18.5" customHeight="1" x14ac:dyDescent="0.35">
      <c r="A62" s="10" t="s">
        <v>5</v>
      </c>
      <c r="B62" s="11">
        <f>COUNT(B2:B59)</f>
        <v>33</v>
      </c>
      <c r="C62" s="11">
        <f>COUNT(C2:C59)</f>
        <v>39</v>
      </c>
      <c r="D62" s="11">
        <f>COUNT(D2:D59)</f>
        <v>36</v>
      </c>
      <c r="E62" s="12">
        <f>COUNT(E2:E59)</f>
        <v>58</v>
      </c>
    </row>
    <row r="63" spans="1:5" s="16" customFormat="1" ht="18.5" customHeight="1" x14ac:dyDescent="0.35">
      <c r="A63" s="10" t="s">
        <v>34</v>
      </c>
      <c r="B63" s="11">
        <v>83</v>
      </c>
      <c r="C63" s="11">
        <v>78</v>
      </c>
      <c r="D63" s="11">
        <v>89</v>
      </c>
      <c r="E63" s="11"/>
    </row>
    <row r="64" spans="1:5" s="16" customFormat="1" x14ac:dyDescent="0.35">
      <c r="A64" s="10" t="s">
        <v>32</v>
      </c>
      <c r="B64" s="11"/>
      <c r="C64" s="11"/>
      <c r="D64" s="11"/>
      <c r="E64" s="12"/>
    </row>
    <row r="65" spans="1:5" s="16" customFormat="1" x14ac:dyDescent="0.35">
      <c r="A65" s="10" t="s">
        <v>33</v>
      </c>
      <c r="B65" s="11"/>
      <c r="C65" s="11"/>
      <c r="D65" s="11"/>
      <c r="E65" s="12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30" t="s">
        <v>7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2026-07-14T15:15:02Z</dcterms:modified>
</cp:coreProperties>
</file>