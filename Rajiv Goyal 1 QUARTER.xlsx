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tesh old laptop d drive\hitesh jain\d\old com data\d\MY DOCUMENTS\PROJECT LIST\AMAZING MEDIA\SALES REPORT 2026-2027\1ST QUARTER\"/>
    </mc:Choice>
  </mc:AlternateContent>
  <bookViews>
    <workbookView xWindow="0" yWindow="0" windowWidth="19200" windowHeight="7190"/>
  </bookViews>
  <sheets>
    <sheet name="Q1 Summary" sheetId="1" r:id="rId1"/>
    <sheet name="Customerwise Sales" sheetId="4" r:id="rId2"/>
    <sheet name="Planning" sheetId="3" r:id="rId3"/>
  </sheets>
  <definedNames>
    <definedName name="_xlnm._FilterDatabase" localSheetId="1" hidden="1">'Customerwise Sales'!$A$6:$E$57</definedName>
  </definedNames>
  <calcPr calcId="152511"/>
</workbook>
</file>

<file path=xl/calcChain.xml><?xml version="1.0" encoding="utf-8"?>
<calcChain xmlns="http://schemas.openxmlformats.org/spreadsheetml/2006/main">
  <c r="E54" i="4" l="1"/>
  <c r="D54" i="4"/>
  <c r="C54" i="4"/>
  <c r="B54" i="4"/>
  <c r="E7" i="1"/>
  <c r="E10" i="1"/>
  <c r="E20" i="1" l="1"/>
  <c r="E16" i="1"/>
  <c r="E15" i="1"/>
  <c r="E14" i="1"/>
  <c r="E17" i="1" l="1"/>
  <c r="E5" i="1"/>
  <c r="E11" i="1" l="1"/>
  <c r="E4" i="1" l="1"/>
  <c r="E6" i="1"/>
  <c r="E3" i="1"/>
  <c r="E9" i="1"/>
  <c r="E8" i="1"/>
</calcChain>
</file>

<file path=xl/sharedStrings.xml><?xml version="1.0" encoding="utf-8"?>
<sst xmlns="http://schemas.openxmlformats.org/spreadsheetml/2006/main" count="104" uniqueCount="103">
  <si>
    <t>Product / Category</t>
  </si>
  <si>
    <t>Apr'26</t>
  </si>
  <si>
    <t>May'26</t>
  </si>
  <si>
    <t>Jun'26</t>
  </si>
  <si>
    <t>Q1 Total</t>
  </si>
  <si>
    <t>Total Customers Billed</t>
  </si>
  <si>
    <t>Collection (Rs.)</t>
  </si>
  <si>
    <t>Sales Planning Sheet</t>
  </si>
  <si>
    <t>Product</t>
  </si>
  <si>
    <t>Aug'26</t>
  </si>
  <si>
    <t>Sep'26</t>
  </si>
  <si>
    <t>Q2</t>
  </si>
  <si>
    <t>Q3</t>
  </si>
  <si>
    <t>Q4</t>
  </si>
  <si>
    <t>QTR 1</t>
  </si>
  <si>
    <t xml:space="preserve"> Target</t>
  </si>
  <si>
    <t xml:space="preserve"> Jul'26</t>
  </si>
  <si>
    <t>April fine (Board)</t>
  </si>
  <si>
    <t>April fine (Paper )</t>
  </si>
  <si>
    <t>ART PAPER</t>
  </si>
  <si>
    <t>ARTICA (Board)</t>
  </si>
  <si>
    <t>Artica Intense Black</t>
  </si>
  <si>
    <t>ARTICA (Paper)</t>
  </si>
  <si>
    <t>Century  (Board)</t>
  </si>
  <si>
    <t>Century  (Paper)</t>
  </si>
  <si>
    <t>FLEXBOARD</t>
  </si>
  <si>
    <t>Polyplex</t>
  </si>
  <si>
    <t>Cosmo</t>
  </si>
  <si>
    <t xml:space="preserve">HB Fuller </t>
  </si>
  <si>
    <t xml:space="preserve">Write remaining </t>
  </si>
  <si>
    <t>Total Value Sale (Amount)</t>
  </si>
  <si>
    <t>Overdue %age of total due as on 30th June, 2026</t>
  </si>
  <si>
    <t>New Customer Billed in Numbers</t>
  </si>
  <si>
    <t>New Customer Billed in Value</t>
  </si>
  <si>
    <t>Total Customer Met</t>
  </si>
  <si>
    <t>Average Debtor Days (Avereage Debtor/Net sales*90)</t>
  </si>
  <si>
    <t>Overdue Payment as on 30th June 2026 for more than 15 Days</t>
  </si>
  <si>
    <t>Total Due as on 30th June 2026</t>
  </si>
  <si>
    <t>Apr</t>
  </si>
  <si>
    <t>May</t>
  </si>
  <si>
    <t>Jun</t>
  </si>
  <si>
    <t>Grand Total</t>
  </si>
  <si>
    <t>Row Labels</t>
  </si>
  <si>
    <t>Average Debtor (Closing Debtor+Opning Debtor)/2</t>
  </si>
  <si>
    <t>Rajiv Goyal Template - Business at a Glance (Quarter 1)</t>
  </si>
  <si>
    <t>Cosmo / Amazing Media  (ST)</t>
  </si>
  <si>
    <t>Cosmo Thermal/ Amazing Media  (KG.)</t>
  </si>
  <si>
    <t>Artica (KG)</t>
  </si>
  <si>
    <t>AJAH AND CO.</t>
  </si>
  <si>
    <t>AMIT ARTS - MOHALI- PUNJAB</t>
  </si>
  <si>
    <t xml:space="preserve">ANOOP DIGITAL COLOR LAB PROP.ANOOP KUMAR_x000D_
_x000D_
</t>
  </si>
  <si>
    <t xml:space="preserve">ARDAAS PHOTOS PROP.HARSHBIR SINGH_x000D_
_x000D_
</t>
  </si>
  <si>
    <t>ARORA DIGITAL</t>
  </si>
  <si>
    <t>ASIAN ENTERPRISES</t>
  </si>
  <si>
    <t>BANSAL FRAME AND COLOR LAB PROP.KANAV</t>
  </si>
  <si>
    <t>BHATIA PAPERS PROP.AASHISH BHATIA</t>
  </si>
  <si>
    <t>CAPITAL GRAPHICS</t>
  </si>
  <si>
    <t>DEEPAK SALES CORPN.PROP.RAKESH KUMAR BHATIA</t>
  </si>
  <si>
    <t>DESHU ALBUMS</t>
  </si>
  <si>
    <t>DOABA COLOR LAB</t>
  </si>
  <si>
    <t>DURGA JI TRADERS</t>
  </si>
  <si>
    <t>FIVE STAR PRINTEK</t>
  </si>
  <si>
    <t>GEE 7 PRINTEK PVT. LTD.</t>
  </si>
  <si>
    <t>GOELS PRESS</t>
  </si>
  <si>
    <t>GTC PAPER PRIVATE LIMITED</t>
  </si>
  <si>
    <t>INDIA COLOUR LAB</t>
  </si>
  <si>
    <t>KESHAV SALES CORPORATION</t>
  </si>
  <si>
    <t>KRISHNA COLOUR LAB- LADWA</t>
  </si>
  <si>
    <t>KRISHNA STATIONERY MART</t>
  </si>
  <si>
    <t>KRIT DIGITAL LAB ( PATHANKOT)</t>
  </si>
  <si>
    <t>MAANA COLOR LAB PROP SHINDERPAL KAUR</t>
  </si>
  <si>
    <t>N K ENTERPRISES PROP.NALIN GUPTA</t>
  </si>
  <si>
    <t>NARMADA PHOTO CENTRE PROP.SUBHASH CHANDER</t>
  </si>
  <si>
    <t>NEW SINGH COLOR LAB PROP TAJINDER SINGH</t>
  </si>
  <si>
    <t>P. K. R. JAIN COLOUR LAB</t>
  </si>
  <si>
    <t>PCL CENTRE</t>
  </si>
  <si>
    <t>PHOTO HOUSE</t>
  </si>
  <si>
    <t>PRINT ON DEMAND PROP AJAY KUMAR</t>
  </si>
  <si>
    <t>R.K. PHOTO LAB</t>
  </si>
  <si>
    <t>RAJNEESH PHOTO SALES</t>
  </si>
  <si>
    <t>ROXY COLOR LAB</t>
  </si>
  <si>
    <t xml:space="preserve">S R ENTERPRISES PROP.SANJEEV SOOD_x000D_
_x000D_
</t>
  </si>
  <si>
    <t>SAI PRINT MEDIA ( PUNJAB)</t>
  </si>
  <si>
    <t>SHIV SHAKTI FRONTIER DIGITAL LAB</t>
  </si>
  <si>
    <t>SHREE BALAJI ALBUMS</t>
  </si>
  <si>
    <t>SHRI DASHMESH PHOTO LAB</t>
  </si>
  <si>
    <t xml:space="preserve">SHRI GANESH DIGITAL COLOR LAB PROP.CHARANJIV GUPTA_x000D_
_x000D_
</t>
  </si>
  <si>
    <t>SHUBHAM COLOR LAB &amp; DIGITAL STUDIO</t>
  </si>
  <si>
    <t>SINGH DIGITAL LAB  STUDIO PROP.GURPREET S. CHAWLA</t>
  </si>
  <si>
    <t>SOOD LAMINATE</t>
  </si>
  <si>
    <t>SOOD STUDIOS PVT LTD</t>
  </si>
  <si>
    <t>SUPERIA GRAPHICS</t>
  </si>
  <si>
    <t>TASA ENTERPRISES BOOK PROP. SATISH KR.</t>
  </si>
  <si>
    <t>VAAHO COLOUR LAB</t>
  </si>
  <si>
    <t>VAAHO PHOTO COLOR</t>
  </si>
  <si>
    <t>VENUS ALBUM CO. PVT. LTD. AMRITSAR</t>
  </si>
  <si>
    <t>VISION PHOTO STUDIO</t>
  </si>
  <si>
    <t>April Fine (Board)/Paper And Board   (KG.)</t>
  </si>
  <si>
    <t>April Fine (Paper)/Paper And Board   (KG.)</t>
  </si>
  <si>
    <t>Binding Board (KG.)</t>
  </si>
  <si>
    <t>Cpp/ Paper And Board (KG.)</t>
  </si>
  <si>
    <t>Sara Print / Amazing Media (ST)</t>
  </si>
  <si>
    <t>Sara Lam / Amazing Media (KG.)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</si>
</sst>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0" xfId="0"/>
    <xf numFmtId="0" fontId="3" fillId="0" borderId="0" xfId="0" applyFont="1"/>
    <xf numFmtId="0" fontId="0" fillId="0" borderId="2" xfId="0" applyBorder="1"/>
    <xf numFmtId="0" fontId="8" fillId="0" borderId="2" xfId="0" applyFont="1" applyBorder="1"/>
    <xf numFmtId="43" fontId="0" fillId="0" borderId="2" xfId="1" applyFont="1" applyBorder="1"/>
    <xf numFmtId="43" fontId="6" fillId="0" borderId="2" xfId="1" applyFont="1" applyBorder="1"/>
    <xf numFmtId="43" fontId="6" fillId="0" borderId="2" xfId="1" applyFont="1" applyBorder="1" applyAlignment="1">
      <alignment vertical="center"/>
    </xf>
    <xf numFmtId="0" fontId="0" fillId="3" borderId="2" xfId="0" applyFill="1" applyBorder="1"/>
    <xf numFmtId="43" fontId="0" fillId="3" borderId="2" xfId="1" applyFont="1" applyFill="1" applyBorder="1"/>
    <xf numFmtId="43" fontId="6" fillId="3" borderId="2" xfId="1" applyFont="1" applyFill="1" applyBorder="1"/>
    <xf numFmtId="10" fontId="6" fillId="3" borderId="2" xfId="2" applyNumberFormat="1" applyFont="1" applyFill="1" applyBorder="1"/>
    <xf numFmtId="0" fontId="0" fillId="0" borderId="0" xfId="0" applyAlignment="1">
      <alignment vertical="center"/>
    </xf>
    <xf numFmtId="0" fontId="0" fillId="0" borderId="0" xfId="0" applyFill="1" applyBorder="1"/>
    <xf numFmtId="0" fontId="0" fillId="0" borderId="0" xfId="0"/>
    <xf numFmtId="0" fontId="0" fillId="0" borderId="0" xfId="0"/>
    <xf numFmtId="0" fontId="6" fillId="4" borderId="2" xfId="0" applyFont="1" applyFill="1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0" fontId="6" fillId="4" borderId="2" xfId="0" applyFont="1" applyFill="1" applyBorder="1" applyAlignment="1">
      <alignment horizontal="left"/>
    </xf>
    <xf numFmtId="0" fontId="6" fillId="4" borderId="2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4">
    <cellStyle name="Comma" xfId="1" builtinId="3"/>
    <cellStyle name="Comma 2" xf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sqref="A1:E1"/>
    </sheetView>
  </sheetViews>
  <sheetFormatPr defaultRowHeight="18.5" customHeight="1" x14ac:dyDescent="0.35"/>
  <cols>
    <col min="1" max="1" width="52.54296875" customWidth="1"/>
    <col min="2" max="3" width="14.08984375" customWidth="1"/>
    <col min="4" max="4" width="15.08984375" bestFit="1" customWidth="1"/>
    <col min="5" max="5" width="15.6328125" customWidth="1"/>
  </cols>
  <sheetData>
    <row r="1" spans="1:5" s="14" customFormat="1" ht="26.4" customHeight="1" x14ac:dyDescent="0.35">
      <c r="A1" s="27" t="s">
        <v>44</v>
      </c>
      <c r="B1" s="28"/>
      <c r="C1" s="28"/>
      <c r="D1" s="28"/>
      <c r="E1" s="28"/>
    </row>
    <row r="2" spans="1:5" s="14" customFormat="1" ht="21.65" customHeight="1" x14ac:dyDescent="0.35">
      <c r="A2" s="25" t="s">
        <v>0</v>
      </c>
      <c r="B2" s="25" t="s">
        <v>1</v>
      </c>
      <c r="C2" s="25" t="s">
        <v>2</v>
      </c>
      <c r="D2" s="25" t="s">
        <v>3</v>
      </c>
      <c r="E2" s="25" t="s">
        <v>4</v>
      </c>
    </row>
    <row r="3" spans="1:5" ht="18.5" customHeight="1" x14ac:dyDescent="0.35">
      <c r="A3" s="6" t="s">
        <v>97</v>
      </c>
      <c r="B3" s="7">
        <v>18264.540000000005</v>
      </c>
      <c r="C3" s="7">
        <v>84670.97</v>
      </c>
      <c r="D3" s="7">
        <v>31842.02</v>
      </c>
      <c r="E3" s="8">
        <f t="shared" ref="E3:E11" si="0">SUM(B3:D3)</f>
        <v>134777.53</v>
      </c>
    </row>
    <row r="4" spans="1:5" ht="14.5" x14ac:dyDescent="0.35">
      <c r="A4" s="6" t="s">
        <v>98</v>
      </c>
      <c r="B4" s="7">
        <v>1275.1199999999999</v>
      </c>
      <c r="C4" s="7">
        <v>1446.96</v>
      </c>
      <c r="D4" s="7">
        <v>149.76</v>
      </c>
      <c r="E4" s="8">
        <f t="shared" si="0"/>
        <v>2871.84</v>
      </c>
    </row>
    <row r="5" spans="1:5" s="17" customFormat="1" ht="14.5" x14ac:dyDescent="0.35">
      <c r="A5" s="6" t="s">
        <v>99</v>
      </c>
      <c r="B5" s="7">
        <v>4067.3299999999995</v>
      </c>
      <c r="C5" s="7">
        <v>2004.8</v>
      </c>
      <c r="D5" s="7">
        <v>715</v>
      </c>
      <c r="E5" s="8">
        <f t="shared" si="0"/>
        <v>6787.1299999999992</v>
      </c>
    </row>
    <row r="6" spans="1:5" s="3" customFormat="1" ht="18.5" customHeight="1" x14ac:dyDescent="0.35">
      <c r="A6" s="5" t="s">
        <v>100</v>
      </c>
      <c r="B6" s="7">
        <v>0</v>
      </c>
      <c r="C6" s="7">
        <v>690.4</v>
      </c>
      <c r="D6" s="7">
        <v>0</v>
      </c>
      <c r="E6" s="8">
        <f t="shared" si="0"/>
        <v>690.4</v>
      </c>
    </row>
    <row r="7" spans="1:5" s="26" customFormat="1" ht="18.5" customHeight="1" x14ac:dyDescent="0.35">
      <c r="A7" s="5" t="s">
        <v>101</v>
      </c>
      <c r="B7" s="7">
        <v>364300</v>
      </c>
      <c r="C7" s="7">
        <v>193400</v>
      </c>
      <c r="D7" s="7">
        <v>242950</v>
      </c>
      <c r="E7" s="8">
        <f t="shared" si="0"/>
        <v>800650</v>
      </c>
    </row>
    <row r="8" spans="1:5" ht="18.5" customHeight="1" x14ac:dyDescent="0.35">
      <c r="A8" s="5" t="s">
        <v>102</v>
      </c>
      <c r="B8" s="7">
        <v>5549.4299999999994</v>
      </c>
      <c r="C8" s="7">
        <v>6119.9999999999991</v>
      </c>
      <c r="D8" s="7">
        <v>825.26</v>
      </c>
      <c r="E8" s="8">
        <f t="shared" si="0"/>
        <v>12494.689999999999</v>
      </c>
    </row>
    <row r="9" spans="1:5" ht="18.5" customHeight="1" x14ac:dyDescent="0.35">
      <c r="A9" s="5" t="s">
        <v>45</v>
      </c>
      <c r="B9" s="7">
        <v>24555</v>
      </c>
      <c r="C9" s="7">
        <v>2500</v>
      </c>
      <c r="D9" s="7">
        <v>2575</v>
      </c>
      <c r="E9" s="8">
        <f t="shared" si="0"/>
        <v>29630</v>
      </c>
    </row>
    <row r="10" spans="1:5" s="26" customFormat="1" ht="18.5" customHeight="1" x14ac:dyDescent="0.35">
      <c r="A10" s="5" t="s">
        <v>46</v>
      </c>
      <c r="B10" s="7">
        <v>720.32</v>
      </c>
      <c r="C10" s="7">
        <v>301.54000000000002</v>
      </c>
      <c r="D10" s="7">
        <v>715.56</v>
      </c>
      <c r="E10" s="8">
        <f t="shared" si="0"/>
        <v>1737.42</v>
      </c>
    </row>
    <row r="11" spans="1:5" ht="18.5" customHeight="1" x14ac:dyDescent="0.35">
      <c r="A11" s="5" t="s">
        <v>47</v>
      </c>
      <c r="B11" s="7">
        <v>2721.35</v>
      </c>
      <c r="C11" s="7">
        <v>3598.05</v>
      </c>
      <c r="D11" s="7">
        <v>1387.18</v>
      </c>
      <c r="E11" s="9">
        <f t="shared" si="0"/>
        <v>7706.58</v>
      </c>
    </row>
    <row r="12" spans="1:5" ht="18.5" customHeight="1" x14ac:dyDescent="0.35">
      <c r="A12" s="5"/>
      <c r="B12" s="7"/>
      <c r="C12" s="7"/>
      <c r="D12" s="7"/>
      <c r="E12" s="7"/>
    </row>
    <row r="13" spans="1:5" ht="18.5" customHeight="1" x14ac:dyDescent="0.35">
      <c r="A13" s="5"/>
      <c r="B13" s="7"/>
      <c r="C13" s="7"/>
      <c r="D13" s="7"/>
      <c r="E13" s="7"/>
    </row>
    <row r="14" spans="1:5" ht="18.5" customHeight="1" x14ac:dyDescent="0.35">
      <c r="A14" s="10" t="s">
        <v>30</v>
      </c>
      <c r="B14" s="11">
        <v>10880637.76</v>
      </c>
      <c r="C14" s="11">
        <v>11895180.689999999</v>
      </c>
      <c r="D14" s="11">
        <v>7695173.2699999996</v>
      </c>
      <c r="E14" s="12">
        <f>B14+C14+D14</f>
        <v>30470991.719999999</v>
      </c>
    </row>
    <row r="15" spans="1:5" ht="18.5" customHeight="1" x14ac:dyDescent="0.35">
      <c r="A15" s="10" t="s">
        <v>6</v>
      </c>
      <c r="B15" s="11">
        <v>11733098</v>
      </c>
      <c r="C15" s="11">
        <v>15433171</v>
      </c>
      <c r="D15" s="11">
        <v>12159661</v>
      </c>
      <c r="E15" s="12">
        <f>SUM(B15:D15)</f>
        <v>39325930</v>
      </c>
    </row>
    <row r="16" spans="1:5" s="3" customFormat="1" ht="18.5" customHeight="1" x14ac:dyDescent="0.35">
      <c r="A16" s="10" t="s">
        <v>43</v>
      </c>
      <c r="B16" s="11"/>
      <c r="C16" s="11"/>
      <c r="D16" s="11"/>
      <c r="E16" s="12">
        <f>(18855178+16092527)/2</f>
        <v>17473852.5</v>
      </c>
    </row>
    <row r="17" spans="1:5" s="3" customFormat="1" ht="18.5" customHeight="1" x14ac:dyDescent="0.35">
      <c r="A17" s="10" t="s">
        <v>35</v>
      </c>
      <c r="B17" s="11"/>
      <c r="C17" s="11"/>
      <c r="D17" s="11"/>
      <c r="E17" s="12">
        <f>E16/E14*90</f>
        <v>51.611274731428402</v>
      </c>
    </row>
    <row r="18" spans="1:5" s="3" customFormat="1" ht="18.5" customHeight="1" x14ac:dyDescent="0.35">
      <c r="A18" s="10" t="s">
        <v>36</v>
      </c>
      <c r="B18" s="11"/>
      <c r="C18" s="11"/>
      <c r="D18" s="11"/>
      <c r="E18" s="12">
        <v>4615403</v>
      </c>
    </row>
    <row r="19" spans="1:5" s="3" customFormat="1" ht="18.5" customHeight="1" x14ac:dyDescent="0.35">
      <c r="A19" s="10" t="s">
        <v>37</v>
      </c>
      <c r="B19" s="11"/>
      <c r="C19" s="11"/>
      <c r="D19" s="11"/>
      <c r="E19" s="12">
        <v>16832144</v>
      </c>
    </row>
    <row r="20" spans="1:5" ht="18.5" customHeight="1" x14ac:dyDescent="0.35">
      <c r="A20" s="10" t="s">
        <v>31</v>
      </c>
      <c r="B20" s="11"/>
      <c r="C20" s="11"/>
      <c r="D20" s="11"/>
      <c r="E20" s="13">
        <f>E18/E19</f>
        <v>0.27420172973805357</v>
      </c>
    </row>
  </sheetData>
  <mergeCells count="1">
    <mergeCell ref="A1:E1"/>
  </mergeCells>
  <phoneticPr fontId="4" type="noConversion"/>
  <pageMargins left="0.75" right="0.75" top="1" bottom="1" header="0.5" footer="0.5"/>
  <pageSetup paperSize="9" scale="9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opLeftCell="A38" workbookViewId="0">
      <selection activeCell="A61" sqref="A61"/>
    </sheetView>
  </sheetViews>
  <sheetFormatPr defaultColWidth="8.81640625" defaultRowHeight="14.5" x14ac:dyDescent="0.35"/>
  <cols>
    <col min="1" max="1" width="52.81640625" style="3" customWidth="1"/>
    <col min="2" max="3" width="12" style="3" customWidth="1"/>
    <col min="4" max="4" width="11" style="3" customWidth="1"/>
    <col min="5" max="5" width="12" style="3" customWidth="1"/>
    <col min="6" max="16384" width="8.81640625" style="3"/>
  </cols>
  <sheetData>
    <row r="1" spans="1:5" s="17" customFormat="1" x14ac:dyDescent="0.35">
      <c r="A1" s="18" t="s">
        <v>42</v>
      </c>
      <c r="B1" s="18" t="s">
        <v>38</v>
      </c>
      <c r="C1" s="18" t="s">
        <v>39</v>
      </c>
      <c r="D1" s="18" t="s">
        <v>40</v>
      </c>
      <c r="E1" s="18" t="s">
        <v>41</v>
      </c>
    </row>
    <row r="2" spans="1:5" s="17" customFormat="1" x14ac:dyDescent="0.35">
      <c r="A2" s="19" t="s">
        <v>48</v>
      </c>
      <c r="B2" s="20">
        <v>559945</v>
      </c>
      <c r="C2" s="20">
        <v>221000</v>
      </c>
      <c r="D2" s="20">
        <v>201000</v>
      </c>
      <c r="E2" s="20">
        <v>981945</v>
      </c>
    </row>
    <row r="3" spans="1:5" s="17" customFormat="1" x14ac:dyDescent="0.35">
      <c r="A3" s="19" t="s">
        <v>49</v>
      </c>
      <c r="B3" s="20">
        <v>81000</v>
      </c>
      <c r="C3" s="20"/>
      <c r="D3" s="20"/>
      <c r="E3" s="20">
        <v>81000</v>
      </c>
    </row>
    <row r="4" spans="1:5" s="17" customFormat="1" x14ac:dyDescent="0.35">
      <c r="A4" s="19" t="s">
        <v>50</v>
      </c>
      <c r="B4" s="20">
        <v>89330</v>
      </c>
      <c r="C4" s="20">
        <v>131034</v>
      </c>
      <c r="D4" s="20">
        <v>60606</v>
      </c>
      <c r="E4" s="20">
        <v>280970</v>
      </c>
    </row>
    <row r="5" spans="1:5" s="17" customFormat="1" x14ac:dyDescent="0.35">
      <c r="A5" s="19" t="s">
        <v>51</v>
      </c>
      <c r="B5" s="20">
        <v>375000</v>
      </c>
      <c r="C5" s="20"/>
      <c r="D5" s="20">
        <v>14840</v>
      </c>
      <c r="E5" s="20">
        <v>389840</v>
      </c>
    </row>
    <row r="6" spans="1:5" s="14" customFormat="1" x14ac:dyDescent="0.35">
      <c r="A6" s="19" t="s">
        <v>52</v>
      </c>
      <c r="B6" s="20">
        <v>82881</v>
      </c>
      <c r="C6" s="20"/>
      <c r="D6" s="20"/>
      <c r="E6" s="20">
        <v>82881</v>
      </c>
    </row>
    <row r="7" spans="1:5" s="14" customFormat="1" x14ac:dyDescent="0.35">
      <c r="A7" s="19" t="s">
        <v>53</v>
      </c>
      <c r="B7" s="20"/>
      <c r="C7" s="20">
        <v>68175</v>
      </c>
      <c r="D7" s="20"/>
      <c r="E7" s="20">
        <v>68175</v>
      </c>
    </row>
    <row r="8" spans="1:5" x14ac:dyDescent="0.35">
      <c r="A8" s="19" t="s">
        <v>54</v>
      </c>
      <c r="B8" s="20"/>
      <c r="C8" s="20">
        <v>84647</v>
      </c>
      <c r="D8" s="20">
        <v>49136</v>
      </c>
      <c r="E8" s="20">
        <v>133783</v>
      </c>
    </row>
    <row r="9" spans="1:5" x14ac:dyDescent="0.35">
      <c r="A9" s="19" t="s">
        <v>55</v>
      </c>
      <c r="B9" s="20"/>
      <c r="C9" s="20"/>
      <c r="D9" s="20">
        <v>1743224.47</v>
      </c>
      <c r="E9" s="20">
        <v>1743224.47</v>
      </c>
    </row>
    <row r="10" spans="1:5" x14ac:dyDescent="0.35">
      <c r="A10" s="19" t="s">
        <v>56</v>
      </c>
      <c r="B10" s="20"/>
      <c r="C10" s="20">
        <v>91852.800000000003</v>
      </c>
      <c r="D10" s="20"/>
      <c r="E10" s="20">
        <v>91852.800000000003</v>
      </c>
    </row>
    <row r="11" spans="1:5" x14ac:dyDescent="0.35">
      <c r="A11" s="19" t="s">
        <v>57</v>
      </c>
      <c r="B11" s="20">
        <v>1330966.3099999998</v>
      </c>
      <c r="C11" s="20">
        <v>6091194.1699999999</v>
      </c>
      <c r="D11" s="20">
        <v>596555.26</v>
      </c>
      <c r="E11" s="20">
        <v>8018715.7399999993</v>
      </c>
    </row>
    <row r="12" spans="1:5" x14ac:dyDescent="0.35">
      <c r="A12" s="19" t="s">
        <v>58</v>
      </c>
      <c r="B12" s="20">
        <v>224611.06</v>
      </c>
      <c r="C12" s="20">
        <v>227212.5</v>
      </c>
      <c r="D12" s="20">
        <v>132868</v>
      </c>
      <c r="E12" s="20">
        <v>584691.56000000006</v>
      </c>
    </row>
    <row r="13" spans="1:5" x14ac:dyDescent="0.35">
      <c r="A13" s="19" t="s">
        <v>59</v>
      </c>
      <c r="B13" s="20">
        <v>43862</v>
      </c>
      <c r="C13" s="20">
        <v>40473</v>
      </c>
      <c r="D13" s="20">
        <v>20460</v>
      </c>
      <c r="E13" s="20">
        <v>104795</v>
      </c>
    </row>
    <row r="14" spans="1:5" x14ac:dyDescent="0.35">
      <c r="A14" s="19" t="s">
        <v>60</v>
      </c>
      <c r="B14" s="20">
        <v>263984.25</v>
      </c>
      <c r="C14" s="20">
        <v>136331.6</v>
      </c>
      <c r="D14" s="20">
        <v>111149.5</v>
      </c>
      <c r="E14" s="20">
        <v>511465.35</v>
      </c>
    </row>
    <row r="15" spans="1:5" x14ac:dyDescent="0.35">
      <c r="A15" s="19" t="s">
        <v>61</v>
      </c>
      <c r="B15" s="20">
        <v>1388377.2000000002</v>
      </c>
      <c r="C15" s="20">
        <v>120500</v>
      </c>
      <c r="D15" s="20">
        <v>283700</v>
      </c>
      <c r="E15" s="20">
        <v>1792577.2000000002</v>
      </c>
    </row>
    <row r="16" spans="1:5" x14ac:dyDescent="0.35">
      <c r="A16" s="19" t="s">
        <v>62</v>
      </c>
      <c r="B16" s="20">
        <v>3542000</v>
      </c>
      <c r="C16" s="20">
        <v>2257123.6</v>
      </c>
      <c r="D16" s="20">
        <v>2680250</v>
      </c>
      <c r="E16" s="20">
        <v>8479373.5999999996</v>
      </c>
    </row>
    <row r="17" spans="1:5" x14ac:dyDescent="0.35">
      <c r="A17" s="19" t="s">
        <v>63</v>
      </c>
      <c r="B17" s="20">
        <v>73329.5</v>
      </c>
      <c r="C17" s="20"/>
      <c r="D17" s="20">
        <v>4635</v>
      </c>
      <c r="E17" s="20">
        <v>77964.5</v>
      </c>
    </row>
    <row r="18" spans="1:5" x14ac:dyDescent="0.35">
      <c r="A18" s="19" t="s">
        <v>64</v>
      </c>
      <c r="B18" s="20">
        <v>160731.25</v>
      </c>
      <c r="C18" s="20"/>
      <c r="D18" s="20">
        <v>68100</v>
      </c>
      <c r="E18" s="20">
        <v>228831.25</v>
      </c>
    </row>
    <row r="19" spans="1:5" x14ac:dyDescent="0.35">
      <c r="A19" s="19" t="s">
        <v>65</v>
      </c>
      <c r="B19" s="20"/>
      <c r="C19" s="20">
        <v>39000</v>
      </c>
      <c r="D19" s="20"/>
      <c r="E19" s="20">
        <v>39000</v>
      </c>
    </row>
    <row r="20" spans="1:5" x14ac:dyDescent="0.35">
      <c r="A20" s="19" t="s">
        <v>66</v>
      </c>
      <c r="B20" s="20">
        <v>119000</v>
      </c>
      <c r="C20" s="20">
        <v>11500</v>
      </c>
      <c r="D20" s="20"/>
      <c r="E20" s="20">
        <v>130500</v>
      </c>
    </row>
    <row r="21" spans="1:5" x14ac:dyDescent="0.35">
      <c r="A21" s="19" t="s">
        <v>67</v>
      </c>
      <c r="B21" s="20">
        <v>64904.2</v>
      </c>
      <c r="C21" s="20">
        <v>54250.2</v>
      </c>
      <c r="D21" s="20">
        <v>26140</v>
      </c>
      <c r="E21" s="20">
        <v>145294.39999999999</v>
      </c>
    </row>
    <row r="22" spans="1:5" x14ac:dyDescent="0.35">
      <c r="A22" s="19" t="s">
        <v>68</v>
      </c>
      <c r="B22" s="20">
        <v>65041.5</v>
      </c>
      <c r="C22" s="20"/>
      <c r="D22" s="20"/>
      <c r="E22" s="20">
        <v>65041.5</v>
      </c>
    </row>
    <row r="23" spans="1:5" x14ac:dyDescent="0.35">
      <c r="A23" s="19" t="s">
        <v>69</v>
      </c>
      <c r="B23" s="20"/>
      <c r="C23" s="20">
        <v>110000</v>
      </c>
      <c r="D23" s="20"/>
      <c r="E23" s="20">
        <v>110000</v>
      </c>
    </row>
    <row r="24" spans="1:5" x14ac:dyDescent="0.35">
      <c r="A24" s="19" t="s">
        <v>70</v>
      </c>
      <c r="B24" s="20">
        <v>153480</v>
      </c>
      <c r="C24" s="20"/>
      <c r="D24" s="20"/>
      <c r="E24" s="20">
        <v>153480</v>
      </c>
    </row>
    <row r="25" spans="1:5" x14ac:dyDescent="0.35">
      <c r="A25" s="19" t="s">
        <v>71</v>
      </c>
      <c r="B25" s="20">
        <v>12500</v>
      </c>
      <c r="C25" s="20"/>
      <c r="D25" s="20"/>
      <c r="E25" s="20">
        <v>12500</v>
      </c>
    </row>
    <row r="26" spans="1:5" x14ac:dyDescent="0.35">
      <c r="A26" s="19" t="s">
        <v>72</v>
      </c>
      <c r="B26" s="20">
        <v>161372</v>
      </c>
      <c r="C26" s="20">
        <v>43073.1</v>
      </c>
      <c r="D26" s="20">
        <v>120000</v>
      </c>
      <c r="E26" s="20">
        <v>324445.09999999998</v>
      </c>
    </row>
    <row r="27" spans="1:5" x14ac:dyDescent="0.35">
      <c r="A27" s="19" t="s">
        <v>73</v>
      </c>
      <c r="B27" s="20">
        <v>128895</v>
      </c>
      <c r="C27" s="20">
        <v>84900</v>
      </c>
      <c r="D27" s="20"/>
      <c r="E27" s="20">
        <v>213795</v>
      </c>
    </row>
    <row r="28" spans="1:5" x14ac:dyDescent="0.35">
      <c r="A28" s="19" t="s">
        <v>74</v>
      </c>
      <c r="B28" s="20"/>
      <c r="C28" s="20">
        <v>61881.1</v>
      </c>
      <c r="D28" s="20"/>
      <c r="E28" s="20">
        <v>61881.1</v>
      </c>
    </row>
    <row r="29" spans="1:5" x14ac:dyDescent="0.35">
      <c r="A29" s="19" t="s">
        <v>75</v>
      </c>
      <c r="B29" s="20">
        <v>116379.6</v>
      </c>
      <c r="C29" s="20">
        <v>36600</v>
      </c>
      <c r="D29" s="20">
        <v>24673.599999999999</v>
      </c>
      <c r="E29" s="20">
        <v>177653.2</v>
      </c>
    </row>
    <row r="30" spans="1:5" x14ac:dyDescent="0.35">
      <c r="A30" s="19" t="s">
        <v>76</v>
      </c>
      <c r="B30" s="20"/>
      <c r="C30" s="20">
        <v>505660</v>
      </c>
      <c r="D30" s="20">
        <v>89208</v>
      </c>
      <c r="E30" s="20">
        <v>594868</v>
      </c>
    </row>
    <row r="31" spans="1:5" x14ac:dyDescent="0.35">
      <c r="A31" s="19" t="s">
        <v>77</v>
      </c>
      <c r="B31" s="20">
        <v>26409.599999999999</v>
      </c>
      <c r="C31" s="20"/>
      <c r="D31" s="20"/>
      <c r="E31" s="20">
        <v>26409.599999999999</v>
      </c>
    </row>
    <row r="32" spans="1:5" x14ac:dyDescent="0.35">
      <c r="A32" s="19" t="s">
        <v>78</v>
      </c>
      <c r="B32" s="20">
        <v>65650</v>
      </c>
      <c r="C32" s="20">
        <v>190480.5</v>
      </c>
      <c r="D32" s="20">
        <v>188000</v>
      </c>
      <c r="E32" s="20">
        <v>444130.5</v>
      </c>
    </row>
    <row r="33" spans="1:5" x14ac:dyDescent="0.35">
      <c r="A33" s="19" t="s">
        <v>79</v>
      </c>
      <c r="B33" s="20">
        <v>73125</v>
      </c>
      <c r="C33" s="20">
        <v>9184.7999999999993</v>
      </c>
      <c r="D33" s="20"/>
      <c r="E33" s="20">
        <v>82309.8</v>
      </c>
    </row>
    <row r="34" spans="1:5" x14ac:dyDescent="0.35">
      <c r="A34" s="19" t="s">
        <v>80</v>
      </c>
      <c r="B34" s="20"/>
      <c r="C34" s="20">
        <v>87500</v>
      </c>
      <c r="D34" s="20">
        <v>70000</v>
      </c>
      <c r="E34" s="20">
        <v>157500</v>
      </c>
    </row>
    <row r="35" spans="1:5" x14ac:dyDescent="0.35">
      <c r="A35" s="19" t="s">
        <v>81</v>
      </c>
      <c r="B35" s="20">
        <v>53634.400000000001</v>
      </c>
      <c r="C35" s="20">
        <v>22360</v>
      </c>
      <c r="D35" s="20"/>
      <c r="E35" s="20">
        <v>75994.399999999994</v>
      </c>
    </row>
    <row r="36" spans="1:5" x14ac:dyDescent="0.35">
      <c r="A36" s="19" t="s">
        <v>82</v>
      </c>
      <c r="B36" s="20"/>
      <c r="C36" s="20">
        <v>88932</v>
      </c>
      <c r="D36" s="20"/>
      <c r="E36" s="20">
        <v>88932</v>
      </c>
    </row>
    <row r="37" spans="1:5" s="15" customFormat="1" x14ac:dyDescent="0.35">
      <c r="A37" s="19" t="s">
        <v>83</v>
      </c>
      <c r="B37" s="20">
        <v>31142</v>
      </c>
      <c r="C37" s="20">
        <v>30465</v>
      </c>
      <c r="D37" s="20">
        <v>40120</v>
      </c>
      <c r="E37" s="20">
        <v>101727</v>
      </c>
    </row>
    <row r="38" spans="1:5" s="15" customFormat="1" x14ac:dyDescent="0.35">
      <c r="A38" s="19" t="s">
        <v>84</v>
      </c>
      <c r="B38" s="20"/>
      <c r="C38" s="20">
        <v>61580</v>
      </c>
      <c r="D38" s="20">
        <v>182166.8</v>
      </c>
      <c r="E38" s="20">
        <v>243746.8</v>
      </c>
    </row>
    <row r="39" spans="1:5" s="15" customFormat="1" x14ac:dyDescent="0.35">
      <c r="A39" s="19" t="s">
        <v>85</v>
      </c>
      <c r="B39" s="20">
        <v>313380.09999999998</v>
      </c>
      <c r="C39" s="20">
        <v>251565</v>
      </c>
      <c r="D39" s="20">
        <v>171054.91999999998</v>
      </c>
      <c r="E39" s="20">
        <v>736000.02</v>
      </c>
    </row>
    <row r="40" spans="1:5" s="15" customFormat="1" x14ac:dyDescent="0.35">
      <c r="A40" s="19" t="s">
        <v>86</v>
      </c>
      <c r="B40" s="20">
        <v>72614.399999999994</v>
      </c>
      <c r="C40" s="20"/>
      <c r="D40" s="20">
        <v>30972</v>
      </c>
      <c r="E40" s="20">
        <v>103586.4</v>
      </c>
    </row>
    <row r="41" spans="1:5" s="15" customFormat="1" x14ac:dyDescent="0.35">
      <c r="A41" s="19" t="s">
        <v>87</v>
      </c>
      <c r="B41" s="20"/>
      <c r="C41" s="20">
        <v>23000</v>
      </c>
      <c r="D41" s="20">
        <v>23000</v>
      </c>
      <c r="E41" s="20">
        <v>46000</v>
      </c>
    </row>
    <row r="42" spans="1:5" s="15" customFormat="1" x14ac:dyDescent="0.35">
      <c r="A42" s="19" t="s">
        <v>88</v>
      </c>
      <c r="B42" s="20">
        <v>63589</v>
      </c>
      <c r="C42" s="20"/>
      <c r="D42" s="20"/>
      <c r="E42" s="20">
        <v>63589</v>
      </c>
    </row>
    <row r="43" spans="1:5" s="15" customFormat="1" x14ac:dyDescent="0.35">
      <c r="A43" s="19" t="s">
        <v>89</v>
      </c>
      <c r="B43" s="20">
        <v>96000</v>
      </c>
      <c r="C43" s="20"/>
      <c r="D43" s="20">
        <v>48000</v>
      </c>
      <c r="E43" s="20">
        <v>144000</v>
      </c>
    </row>
    <row r="44" spans="1:5" s="15" customFormat="1" x14ac:dyDescent="0.35">
      <c r="A44" s="19" t="s">
        <v>90</v>
      </c>
      <c r="B44" s="20">
        <v>60324</v>
      </c>
      <c r="C44" s="20">
        <v>22458</v>
      </c>
      <c r="D44" s="20"/>
      <c r="E44" s="20">
        <v>82782</v>
      </c>
    </row>
    <row r="45" spans="1:5" s="15" customFormat="1" x14ac:dyDescent="0.35">
      <c r="A45" s="19" t="s">
        <v>91</v>
      </c>
      <c r="B45" s="20">
        <v>449622.5</v>
      </c>
      <c r="C45" s="20">
        <v>275056</v>
      </c>
      <c r="D45" s="20">
        <v>491035.8</v>
      </c>
      <c r="E45" s="20">
        <v>1215714.3</v>
      </c>
    </row>
    <row r="46" spans="1:5" s="15" customFormat="1" x14ac:dyDescent="0.35">
      <c r="A46" s="19" t="s">
        <v>92</v>
      </c>
      <c r="B46" s="20">
        <v>68601.89</v>
      </c>
      <c r="C46" s="20">
        <v>139319.12</v>
      </c>
      <c r="D46" s="20">
        <v>13777.92</v>
      </c>
      <c r="E46" s="20">
        <v>221698.93000000002</v>
      </c>
    </row>
    <row r="47" spans="1:5" s="15" customFormat="1" x14ac:dyDescent="0.35">
      <c r="A47" s="19" t="s">
        <v>93</v>
      </c>
      <c r="B47" s="20">
        <v>48000</v>
      </c>
      <c r="C47" s="20">
        <v>80028</v>
      </c>
      <c r="D47" s="20"/>
      <c r="E47" s="20">
        <v>128028</v>
      </c>
    </row>
    <row r="48" spans="1:5" s="15" customFormat="1" x14ac:dyDescent="0.35">
      <c r="A48" s="19" t="s">
        <v>94</v>
      </c>
      <c r="B48" s="20">
        <v>236375</v>
      </c>
      <c r="C48" s="20">
        <v>151625</v>
      </c>
      <c r="D48" s="20">
        <v>198500</v>
      </c>
      <c r="E48" s="20">
        <v>586500</v>
      </c>
    </row>
    <row r="49" spans="1:5" s="15" customFormat="1" x14ac:dyDescent="0.35">
      <c r="A49" s="19" t="s">
        <v>95</v>
      </c>
      <c r="B49" s="20">
        <v>147000</v>
      </c>
      <c r="C49" s="20"/>
      <c r="D49" s="20"/>
      <c r="E49" s="20">
        <v>147000</v>
      </c>
    </row>
    <row r="50" spans="1:5" s="15" customFormat="1" x14ac:dyDescent="0.35">
      <c r="A50" s="19" t="s">
        <v>96</v>
      </c>
      <c r="B50" s="20">
        <v>37580</v>
      </c>
      <c r="C50" s="20">
        <v>45219.199999999997</v>
      </c>
      <c r="D50" s="20">
        <v>12000</v>
      </c>
      <c r="E50" s="20">
        <v>94799.2</v>
      </c>
    </row>
    <row r="51" spans="1:5" s="15" customFormat="1" x14ac:dyDescent="0.35">
      <c r="A51" s="21" t="s">
        <v>41</v>
      </c>
      <c r="B51" s="22">
        <v>10880637.76</v>
      </c>
      <c r="C51" s="22">
        <v>11895180.689999998</v>
      </c>
      <c r="D51" s="22">
        <v>7695173.2699999996</v>
      </c>
      <c r="E51" s="22">
        <v>30470991.719999999</v>
      </c>
    </row>
    <row r="52" spans="1:5" s="15" customFormat="1" x14ac:dyDescent="0.35">
      <c r="A52" s="23"/>
      <c r="B52" s="24"/>
      <c r="C52" s="24"/>
      <c r="D52" s="24"/>
      <c r="E52" s="24"/>
    </row>
    <row r="53" spans="1:5" s="15" customFormat="1" x14ac:dyDescent="0.35">
      <c r="A53" s="23"/>
      <c r="B53" s="24"/>
      <c r="C53" s="24"/>
      <c r="D53" s="24"/>
      <c r="E53" s="24"/>
    </row>
    <row r="54" spans="1:5" s="16" customFormat="1" ht="18.5" customHeight="1" x14ac:dyDescent="0.35">
      <c r="A54" s="10" t="s">
        <v>5</v>
      </c>
      <c r="B54" s="11">
        <f>COUNT(B2:B50)</f>
        <v>37</v>
      </c>
      <c r="C54" s="11">
        <f>COUNT(C2:C50)</f>
        <v>35</v>
      </c>
      <c r="D54" s="11">
        <f>COUNT(D2:D50)</f>
        <v>29</v>
      </c>
      <c r="E54" s="12">
        <f>COUNT(E2:E50)</f>
        <v>49</v>
      </c>
    </row>
    <row r="55" spans="1:5" s="16" customFormat="1" ht="18.5" customHeight="1" x14ac:dyDescent="0.35">
      <c r="A55" s="10" t="s">
        <v>34</v>
      </c>
      <c r="B55" s="11">
        <v>70</v>
      </c>
      <c r="C55" s="11">
        <v>74</v>
      </c>
      <c r="D55" s="11">
        <v>75</v>
      </c>
      <c r="E55" s="11"/>
    </row>
    <row r="56" spans="1:5" s="16" customFormat="1" x14ac:dyDescent="0.35">
      <c r="A56" s="10" t="s">
        <v>32</v>
      </c>
      <c r="B56" s="11"/>
      <c r="C56" s="11"/>
      <c r="D56" s="11"/>
      <c r="E56" s="12"/>
    </row>
    <row r="57" spans="1:5" s="16" customFormat="1" x14ac:dyDescent="0.35">
      <c r="A57" s="10" t="s">
        <v>33</v>
      </c>
      <c r="B57" s="11"/>
      <c r="C57" s="11"/>
      <c r="D57" s="11"/>
      <c r="E57" s="12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4" sqref="B4"/>
    </sheetView>
  </sheetViews>
  <sheetFormatPr defaultRowHeight="14.5" x14ac:dyDescent="0.35"/>
  <cols>
    <col min="1" max="10" width="20" customWidth="1"/>
  </cols>
  <sheetData>
    <row r="1" spans="1:10" ht="21" x14ac:dyDescent="0.5">
      <c r="A1" s="29" t="s">
        <v>7</v>
      </c>
      <c r="B1" s="30"/>
      <c r="C1" s="30"/>
      <c r="D1" s="30"/>
      <c r="E1" s="30"/>
      <c r="F1" s="30"/>
      <c r="G1" s="30"/>
      <c r="H1" s="30"/>
      <c r="I1" s="30"/>
      <c r="J1" s="30"/>
    </row>
    <row r="3" spans="1:10" x14ac:dyDescent="0.35">
      <c r="A3" s="1" t="s">
        <v>8</v>
      </c>
      <c r="B3" s="1" t="s">
        <v>14</v>
      </c>
      <c r="C3" s="1" t="s">
        <v>15</v>
      </c>
      <c r="D3" s="1"/>
      <c r="E3" s="1" t="s">
        <v>16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35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35">
      <c r="A5" s="2" t="s">
        <v>18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 t="s">
        <v>19</v>
      </c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 t="s">
        <v>20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 t="s">
        <v>21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 t="s">
        <v>22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5">
      <c r="A10" s="2" t="s">
        <v>24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5">
      <c r="A11" s="2" t="s">
        <v>23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5">
      <c r="A12" s="2" t="s">
        <v>25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5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 t="s">
        <v>28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5">
      <c r="A16" s="4" t="s">
        <v>29</v>
      </c>
    </row>
  </sheetData>
  <mergeCells count="1">
    <mergeCell ref="A1:J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Summary</vt:lpstr>
      <vt:lpstr>Customerwise Sales</vt:lpstr>
      <vt:lpstr>Planning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meghran</dc:creator>
  <cp:lastModifiedBy>Hitesh Jain</cp:lastModifiedBy>
  <cp:lastPrinted>2026-07-13T12:02:07Z</cp:lastPrinted>
  <dcterms:created xsi:type="dcterms:W3CDTF">2026-07-03T03:50:45Z</dcterms:created>
  <dcterms:modified xsi:type="dcterms:W3CDTF">2026-07-14T15:28:43Z</dcterms:modified>
</cp:coreProperties>
</file>