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itesh old laptop d drive\hitesh jain\d\old com data\d\MY DOCUMENTS\PROJECT LIST\AMAZING MEDIA\SALES REPORT 2026-2027\1ST QUARTER\"/>
    </mc:Choice>
  </mc:AlternateContent>
  <bookViews>
    <workbookView xWindow="0" yWindow="0" windowWidth="19200" windowHeight="7190"/>
  </bookViews>
  <sheets>
    <sheet name="Q1 Summary" sheetId="1" r:id="rId1"/>
    <sheet name="Customerwise Sales" sheetId="4" r:id="rId2"/>
    <sheet name="Planning" sheetId="3" r:id="rId3"/>
  </sheets>
  <definedNames>
    <definedName name="_xlnm._FilterDatabase" localSheetId="1" hidden="1">'Customerwise Sales'!$A$6:$E$68</definedName>
  </definedNames>
  <calcPr calcId="162913"/>
</workbook>
</file>

<file path=xl/calcChain.xml><?xml version="1.0" encoding="utf-8"?>
<calcChain xmlns="http://schemas.openxmlformats.org/spreadsheetml/2006/main">
  <c r="E22" i="1" l="1"/>
  <c r="E19" i="1"/>
  <c r="E18" i="1"/>
  <c r="E16" i="1"/>
  <c r="E12" i="1"/>
  <c r="E17" i="1"/>
  <c r="E65" i="4"/>
  <c r="D65" i="4"/>
  <c r="C65" i="4"/>
  <c r="B65" i="4"/>
  <c r="E7" i="1" l="1"/>
  <c r="E6" i="1"/>
  <c r="E5" i="1" l="1"/>
  <c r="E13" i="1"/>
  <c r="E4" i="1" l="1"/>
  <c r="E8" i="1"/>
  <c r="E3" i="1"/>
  <c r="E11" i="1"/>
  <c r="E9" i="1"/>
  <c r="E10" i="1"/>
</calcChain>
</file>

<file path=xl/sharedStrings.xml><?xml version="1.0" encoding="utf-8"?>
<sst xmlns="http://schemas.openxmlformats.org/spreadsheetml/2006/main" count="117" uniqueCount="116">
  <si>
    <t>Product / Category</t>
  </si>
  <si>
    <t>Apr'26</t>
  </si>
  <si>
    <t>May'26</t>
  </si>
  <si>
    <t>Jun'26</t>
  </si>
  <si>
    <t>Q1 Total</t>
  </si>
  <si>
    <t>Total Customers Billed</t>
  </si>
  <si>
    <t>Collection (Rs.)</t>
  </si>
  <si>
    <t>Sales Planning Sheet</t>
  </si>
  <si>
    <t>Product</t>
  </si>
  <si>
    <t>Aug'26</t>
  </si>
  <si>
    <t>Sep'26</t>
  </si>
  <si>
    <t>Q2</t>
  </si>
  <si>
    <t>Q3</t>
  </si>
  <si>
    <t>Q4</t>
  </si>
  <si>
    <t>QTR 1</t>
  </si>
  <si>
    <t xml:space="preserve"> Target</t>
  </si>
  <si>
    <t xml:space="preserve"> Jul'26</t>
  </si>
  <si>
    <t>April fine (Board)</t>
  </si>
  <si>
    <t>April fine (Paper )</t>
  </si>
  <si>
    <t>ART PAPER</t>
  </si>
  <si>
    <t>ARTICA (Board)</t>
  </si>
  <si>
    <t>Artica Intense Black</t>
  </si>
  <si>
    <t>ARTICA (Paper)</t>
  </si>
  <si>
    <t>Century  (Board)</t>
  </si>
  <si>
    <t>Century  (Paper)</t>
  </si>
  <si>
    <t>FLEXBOARD</t>
  </si>
  <si>
    <t>Polyplex</t>
  </si>
  <si>
    <t>Cosmo</t>
  </si>
  <si>
    <t xml:space="preserve">HB Fuller </t>
  </si>
  <si>
    <t xml:space="preserve">Write remaining </t>
  </si>
  <si>
    <t>Total Value Sale (Amount)</t>
  </si>
  <si>
    <t>Overdue %age of total due as on 30th June, 2026</t>
  </si>
  <si>
    <t>New Customer Billed in Numbers</t>
  </si>
  <si>
    <t>New Customer Billed in Value</t>
  </si>
  <si>
    <t>Total Customer Met</t>
  </si>
  <si>
    <t>Average Debtor Days (Avereage Debtor/Net sales*90)</t>
  </si>
  <si>
    <t>Overdue Payment as on 30th June 2026 for more than 15 Days</t>
  </si>
  <si>
    <t>Total Due as on 30th June 2026</t>
  </si>
  <si>
    <t>Apr</t>
  </si>
  <si>
    <t>May</t>
  </si>
  <si>
    <t>Jun</t>
  </si>
  <si>
    <t>Grand Total</t>
  </si>
  <si>
    <t>Average Debtor (Closing Debtor+Opning Debtor)/2</t>
  </si>
  <si>
    <t>Ronak Jain Template - Business at a Glance (Quarter 1)</t>
  </si>
  <si>
    <t>3A GRAPHICS</t>
  </si>
  <si>
    <t>ADVANCED MICRODEVICES PVT.LTD.</t>
  </si>
  <si>
    <t>AEGEAN OFFSET PRINTERS - U.P</t>
  </si>
  <si>
    <t>AMIT COMPUTER GRAFICS</t>
  </si>
  <si>
    <t>ARCHANA ADVERTISING P. LTD</t>
  </si>
  <si>
    <t>ARCHANA PRESS PVT. LTD.</t>
  </si>
  <si>
    <t>AVENIR PRINTERS PRIVATE LIMITED</t>
  </si>
  <si>
    <t>BRIJBASI  ART PRESS LTD.(NOIDA)</t>
  </si>
  <si>
    <t>BRIJBASI ART PRESS LTD.</t>
  </si>
  <si>
    <t>BRIJBASI ART PRESS LTD. (SECTOR 5 NOIDA)</t>
  </si>
  <si>
    <t>CBS PUBLISHERS &amp; DISTRIBUTORS PVT.LTD.</t>
  </si>
  <si>
    <t>CHANDER PRABHA PUBLICATIONS PRIVATE LIMITED</t>
  </si>
  <si>
    <t>DEV PAPER MART PROP.KIRAN</t>
  </si>
  <si>
    <t>DEVTECH PUBLISHERS AND PRINTERS PVT LTD.</t>
  </si>
  <si>
    <t>DP PRINTING AND BINDING PROP.AKIL ALAM</t>
  </si>
  <si>
    <t>EXCEL PACK PVT. LTD.</t>
  </si>
  <si>
    <t>GOPSONS  PAPERS LIMITED (TAMIL NADU)</t>
  </si>
  <si>
    <t>GOPSONS PAPER LTD ( BOOKS) - 64</t>
  </si>
  <si>
    <t>GOPSONS PAPER LTD (BOYER)</t>
  </si>
  <si>
    <t>GUIDE PRINTERS AND PACKAGING</t>
  </si>
  <si>
    <t>IMAGINATIVE COLOURS PRIVATE LIMITED</t>
  </si>
  <si>
    <t>INDIA OUTSOURCES PROP.ROHIT GUPTA</t>
  </si>
  <si>
    <t>JAGDAMBA PACKERS</t>
  </si>
  <si>
    <t>JAINCO ENTERPRISSES</t>
  </si>
  <si>
    <t>M.S. ART PRINTERS PROP. MAHESH AGGARWAL</t>
  </si>
  <si>
    <t>M.S.GRAPHICS (INDIA)</t>
  </si>
  <si>
    <t>MITTAL TRADERS PROP DHIRAJ KUMAR AGARWAL</t>
  </si>
  <si>
    <t>MUDRAK PROP ANIL MALHOTRA</t>
  </si>
  <si>
    <t>NATIONAL TRADING CO.</t>
  </si>
  <si>
    <t>OXFORD &amp; IBH PUBLISHING CO. PVT. LTD.</t>
  </si>
  <si>
    <t>PAPUROS INTERNATIONAL LLP</t>
  </si>
  <si>
    <t>PHYSICSWALLAH LIMITED</t>
  </si>
  <si>
    <t>PREMIUM POLYMERS LTD.</t>
  </si>
  <si>
    <t>QUADRA PRINT PROCESS (NOIDA)</t>
  </si>
  <si>
    <t>RAJ PAPER MART. - New Delhi</t>
  </si>
  <si>
    <t>REPLIKA PACKAGING PRIVATE LIMITED ( 48)</t>
  </si>
  <si>
    <t>ROBOJET TECHNOLOGIES</t>
  </si>
  <si>
    <t>RSG PACKAGINGS PVT. LTD.</t>
  </si>
  <si>
    <t>S AND S MARKETING</t>
  </si>
  <si>
    <t>SAAR PAPERHUB</t>
  </si>
  <si>
    <t>SACHDEVA OFFSET PRINTERS</t>
  </si>
  <si>
    <t>SAGARIKA ENTERPRISES PROP.PRANAY JAIN</t>
  </si>
  <si>
    <t>SAI INDUSTRIES PROP.SANJEEV PURI</t>
  </si>
  <si>
    <t>SANAT PRINTERS</t>
  </si>
  <si>
    <t>SGV PACKK LLP</t>
  </si>
  <si>
    <t>SHREE BHOMIA JI PAPERS  PRIVATE LIMITED</t>
  </si>
  <si>
    <t>SHREE GATHANI TRADERS PROP.PRAKASH CHAND PUROHIT HUF</t>
  </si>
  <si>
    <t>SHREE JI PAPER SALES</t>
  </si>
  <si>
    <t>SHREE SHYAM INTERNATIONAL</t>
  </si>
  <si>
    <t>SHRI BIHARIJI PAC AND SEAL PRIVATE LIMITED</t>
  </si>
  <si>
    <t>SHRUTI PRINTERS ( PATPARGANJ)</t>
  </si>
  <si>
    <t>SOLAR PRINT PROCESS PVT. LTD. (NOIDA)</t>
  </si>
  <si>
    <t>SRI ROY PRINTS PROP ASHIT ROY</t>
  </si>
  <si>
    <t>STERLING ADVERTISING</t>
  </si>
  <si>
    <t>SUNDEEP PRESS PROP SUNDEEP KUKREJA</t>
  </si>
  <si>
    <t>SUPER STATIONERS PROP.NAVEEN NARULA (GZB)</t>
  </si>
  <si>
    <t>TEKNI PLEX INDIA PVT LTD</t>
  </si>
  <si>
    <t>THE AGRO KING PROP.DINESH KUMAR</t>
  </si>
  <si>
    <t>UKE EXPORT PRIVATE LIMITED</t>
  </si>
  <si>
    <t>VIJAY PAPER MART PROP. VIJAY KR. JAIN</t>
  </si>
  <si>
    <t>Client Name</t>
  </si>
  <si>
    <t>Cosmo / Amazing Media  (ST)</t>
  </si>
  <si>
    <t>Artica (KG)</t>
  </si>
  <si>
    <t>DU PONT (SQM)</t>
  </si>
  <si>
    <t>Sara Lam / Amazing Media (ST)</t>
  </si>
  <si>
    <t>April Fine (Board)/Paper And Board  (KG)</t>
  </si>
  <si>
    <t>April Fine (Paper)/Paper And Board  (KG)</t>
  </si>
  <si>
    <t>Pud (Paper) (KG)</t>
  </si>
  <si>
    <t>Binding Board (KG)</t>
  </si>
  <si>
    <t>Boyer (KG)</t>
  </si>
  <si>
    <t>Cpp/ Paper And Board (KG)</t>
  </si>
  <si>
    <t>Adhesive 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</si>
</sst>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0" xfId="0"/>
    <xf numFmtId="0" fontId="3" fillId="0" borderId="0" xfId="0" applyFont="1"/>
    <xf numFmtId="0" fontId="0" fillId="0" borderId="0" xfId="0"/>
    <xf numFmtId="0" fontId="0" fillId="0" borderId="2" xfId="0" applyBorder="1"/>
    <xf numFmtId="0" fontId="8" fillId="0" borderId="2" xfId="0" applyFont="1" applyBorder="1"/>
    <xf numFmtId="43" fontId="0" fillId="0" borderId="2" xfId="1" applyFont="1" applyBorder="1"/>
    <xf numFmtId="43" fontId="6" fillId="0" borderId="2" xfId="1" applyFont="1" applyBorder="1"/>
    <xf numFmtId="43" fontId="6" fillId="0" borderId="2" xfId="1" applyFont="1" applyBorder="1" applyAlignment="1">
      <alignment vertical="center"/>
    </xf>
    <xf numFmtId="0" fontId="0" fillId="3" borderId="2" xfId="0" applyFill="1" applyBorder="1"/>
    <xf numFmtId="43" fontId="0" fillId="3" borderId="2" xfId="1" applyFont="1" applyFill="1" applyBorder="1"/>
    <xf numFmtId="43" fontId="6" fillId="3" borderId="2" xfId="1" applyFont="1" applyFill="1" applyBorder="1"/>
    <xf numFmtId="10" fontId="6" fillId="3" borderId="2" xfId="2" applyNumberFormat="1" applyFont="1" applyFill="1" applyBorder="1"/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0" xfId="0"/>
    <xf numFmtId="0" fontId="0" fillId="0" borderId="0" xfId="0"/>
    <xf numFmtId="0" fontId="6" fillId="4" borderId="2" xfId="0" applyFont="1" applyFill="1" applyBorder="1"/>
    <xf numFmtId="0" fontId="0" fillId="0" borderId="2" xfId="0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0" borderId="0" xfId="0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43" fontId="6" fillId="4" borderId="2" xfId="1" applyFont="1" applyFill="1" applyBorder="1"/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sqref="A1:E1"/>
    </sheetView>
  </sheetViews>
  <sheetFormatPr defaultRowHeight="18.5" customHeight="1" x14ac:dyDescent="0.35"/>
  <cols>
    <col min="1" max="1" width="52.54296875" customWidth="1"/>
    <col min="2" max="3" width="14.08984375" customWidth="1"/>
    <col min="4" max="4" width="15.08984375" bestFit="1" customWidth="1"/>
    <col min="5" max="5" width="15.6328125" customWidth="1"/>
  </cols>
  <sheetData>
    <row r="1" spans="1:5" s="15" customFormat="1" ht="26.4" customHeight="1" x14ac:dyDescent="0.35">
      <c r="A1" s="26" t="s">
        <v>43</v>
      </c>
      <c r="B1" s="27"/>
      <c r="C1" s="27"/>
      <c r="D1" s="27"/>
      <c r="E1" s="27"/>
    </row>
    <row r="2" spans="1:5" s="15" customFormat="1" ht="21.65" customHeight="1" x14ac:dyDescent="0.3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</row>
    <row r="3" spans="1:5" ht="18.5" customHeight="1" x14ac:dyDescent="0.35">
      <c r="A3" s="7" t="s">
        <v>109</v>
      </c>
      <c r="B3" s="8">
        <v>73501.710000000006</v>
      </c>
      <c r="C3" s="8">
        <v>79863.909999999989</v>
      </c>
      <c r="D3" s="8">
        <v>257072.74000000002</v>
      </c>
      <c r="E3" s="9">
        <f t="shared" ref="E3:E13" si="0">SUM(B3:D3)</f>
        <v>410438.36</v>
      </c>
    </row>
    <row r="4" spans="1:5" ht="14.5" x14ac:dyDescent="0.35">
      <c r="A4" s="7" t="s">
        <v>110</v>
      </c>
      <c r="B4" s="8">
        <v>66374.12999999999</v>
      </c>
      <c r="C4" s="8">
        <v>108290.40000000001</v>
      </c>
      <c r="D4" s="8">
        <v>71132.560000000012</v>
      </c>
      <c r="E4" s="9">
        <f t="shared" si="0"/>
        <v>245797.09000000003</v>
      </c>
    </row>
    <row r="5" spans="1:5" s="5" customFormat="1" ht="14.5" x14ac:dyDescent="0.35">
      <c r="A5" s="7" t="s">
        <v>111</v>
      </c>
      <c r="B5" s="8">
        <v>2152</v>
      </c>
      <c r="C5" s="8">
        <v>1272.5999999999999</v>
      </c>
      <c r="D5" s="8">
        <v>2743.8</v>
      </c>
      <c r="E5" s="9">
        <f t="shared" si="0"/>
        <v>6168.4</v>
      </c>
    </row>
    <row r="6" spans="1:5" s="18" customFormat="1" ht="14.5" x14ac:dyDescent="0.35">
      <c r="A6" s="7" t="s">
        <v>112</v>
      </c>
      <c r="B6" s="8">
        <v>6162.8799999999992</v>
      </c>
      <c r="C6" s="8">
        <v>3569.32</v>
      </c>
      <c r="D6" s="8">
        <v>7588.34</v>
      </c>
      <c r="E6" s="9">
        <f t="shared" si="0"/>
        <v>17320.54</v>
      </c>
    </row>
    <row r="7" spans="1:5" s="18" customFormat="1" ht="14.5" x14ac:dyDescent="0.35">
      <c r="A7" s="7" t="s">
        <v>113</v>
      </c>
      <c r="B7" s="8">
        <v>7459.2</v>
      </c>
      <c r="C7" s="8">
        <v>51805.310000000005</v>
      </c>
      <c r="D7" s="8">
        <v>126968</v>
      </c>
      <c r="E7" s="9">
        <f t="shared" si="0"/>
        <v>186232.51</v>
      </c>
    </row>
    <row r="8" spans="1:5" s="3" customFormat="1" ht="18.5" customHeight="1" x14ac:dyDescent="0.35">
      <c r="A8" s="6" t="s">
        <v>114</v>
      </c>
      <c r="B8" s="8">
        <v>17009.129999999997</v>
      </c>
      <c r="C8" s="8">
        <v>74806.999999999985</v>
      </c>
      <c r="D8" s="8">
        <v>8064</v>
      </c>
      <c r="E8" s="9">
        <f t="shared" si="0"/>
        <v>99880.129999999976</v>
      </c>
    </row>
    <row r="9" spans="1:5" ht="18.5" customHeight="1" x14ac:dyDescent="0.35">
      <c r="A9" s="6" t="s">
        <v>115</v>
      </c>
      <c r="B9" s="8">
        <v>3210</v>
      </c>
      <c r="C9" s="8">
        <v>1350</v>
      </c>
      <c r="D9" s="8">
        <v>2500</v>
      </c>
      <c r="E9" s="9">
        <f t="shared" si="0"/>
        <v>7060</v>
      </c>
    </row>
    <row r="10" spans="1:5" ht="18.5" customHeight="1" x14ac:dyDescent="0.35">
      <c r="A10" s="6" t="s">
        <v>108</v>
      </c>
      <c r="B10" s="8"/>
      <c r="C10" s="8">
        <v>13038.070000000002</v>
      </c>
      <c r="D10" s="8">
        <v>16905.259999999998</v>
      </c>
      <c r="E10" s="9">
        <f t="shared" si="0"/>
        <v>29943.33</v>
      </c>
    </row>
    <row r="11" spans="1:5" ht="18.5" customHeight="1" x14ac:dyDescent="0.35">
      <c r="A11" s="6" t="s">
        <v>105</v>
      </c>
      <c r="B11" s="8">
        <v>50</v>
      </c>
      <c r="C11" s="8">
        <v>13100</v>
      </c>
      <c r="D11" s="8">
        <v>9000</v>
      </c>
      <c r="E11" s="9">
        <f t="shared" si="0"/>
        <v>22150</v>
      </c>
    </row>
    <row r="12" spans="1:5" s="25" customFormat="1" ht="18.5" customHeight="1" x14ac:dyDescent="0.35">
      <c r="A12" s="6" t="s">
        <v>107</v>
      </c>
      <c r="B12" s="8"/>
      <c r="C12" s="8">
        <v>50.8</v>
      </c>
      <c r="D12" s="8"/>
      <c r="E12" s="9">
        <f t="shared" si="0"/>
        <v>50.8</v>
      </c>
    </row>
    <row r="13" spans="1:5" ht="18.5" customHeight="1" x14ac:dyDescent="0.35">
      <c r="A13" s="6" t="s">
        <v>106</v>
      </c>
      <c r="B13" s="8">
        <v>6103</v>
      </c>
      <c r="C13" s="8"/>
      <c r="D13" s="8">
        <v>571.6</v>
      </c>
      <c r="E13" s="10">
        <f t="shared" si="0"/>
        <v>6674.6</v>
      </c>
    </row>
    <row r="14" spans="1:5" ht="18.5" customHeight="1" x14ac:dyDescent="0.35">
      <c r="A14" s="6"/>
      <c r="B14" s="8"/>
      <c r="C14" s="8"/>
      <c r="D14" s="8"/>
      <c r="E14" s="8"/>
    </row>
    <row r="15" spans="1:5" ht="18.5" customHeight="1" x14ac:dyDescent="0.35">
      <c r="A15" s="6"/>
      <c r="B15" s="8"/>
      <c r="C15" s="8"/>
      <c r="D15" s="8"/>
      <c r="E15" s="8"/>
    </row>
    <row r="16" spans="1:5" ht="18.5" customHeight="1" x14ac:dyDescent="0.35">
      <c r="A16" s="11" t="s">
        <v>30</v>
      </c>
      <c r="B16" s="12">
        <v>14654107.960000001</v>
      </c>
      <c r="C16" s="12">
        <v>29674540.289999995</v>
      </c>
      <c r="D16" s="12">
        <v>41833674.149999984</v>
      </c>
      <c r="E16" s="13">
        <f>B16+C16+D16</f>
        <v>86162322.399999976</v>
      </c>
    </row>
    <row r="17" spans="1:5" ht="18.5" customHeight="1" x14ac:dyDescent="0.35">
      <c r="A17" s="11" t="s">
        <v>6</v>
      </c>
      <c r="B17" s="12">
        <v>30867666</v>
      </c>
      <c r="C17" s="12">
        <v>30193463.899999999</v>
      </c>
      <c r="D17" s="12">
        <v>38617517</v>
      </c>
      <c r="E17" s="13">
        <f>SUM(B17:D17)</f>
        <v>99678646.900000006</v>
      </c>
    </row>
    <row r="18" spans="1:5" s="3" customFormat="1" ht="18.5" customHeight="1" x14ac:dyDescent="0.35">
      <c r="A18" s="11" t="s">
        <v>42</v>
      </c>
      <c r="B18" s="12"/>
      <c r="C18" s="12"/>
      <c r="D18" s="12"/>
      <c r="E18" s="13">
        <f>(74083159.9+82325445)/2</f>
        <v>78204302.450000003</v>
      </c>
    </row>
    <row r="19" spans="1:5" s="3" customFormat="1" ht="18.5" customHeight="1" x14ac:dyDescent="0.35">
      <c r="A19" s="11" t="s">
        <v>35</v>
      </c>
      <c r="B19" s="12"/>
      <c r="C19" s="12"/>
      <c r="D19" s="12"/>
      <c r="E19" s="13">
        <f>E18/E16*90</f>
        <v>81.687529124679244</v>
      </c>
    </row>
    <row r="20" spans="1:5" s="3" customFormat="1" ht="18.5" customHeight="1" x14ac:dyDescent="0.35">
      <c r="A20" s="11" t="s">
        <v>36</v>
      </c>
      <c r="B20" s="12"/>
      <c r="C20" s="12"/>
      <c r="D20" s="12"/>
      <c r="E20" s="13">
        <v>16050318</v>
      </c>
    </row>
    <row r="21" spans="1:5" s="3" customFormat="1" ht="18.5" customHeight="1" x14ac:dyDescent="0.35">
      <c r="A21" s="11" t="s">
        <v>37</v>
      </c>
      <c r="B21" s="12"/>
      <c r="C21" s="12"/>
      <c r="D21" s="12"/>
      <c r="E21" s="13">
        <v>82325841</v>
      </c>
    </row>
    <row r="22" spans="1:5" ht="18.5" customHeight="1" x14ac:dyDescent="0.35">
      <c r="A22" s="11" t="s">
        <v>31</v>
      </c>
      <c r="B22" s="12"/>
      <c r="C22" s="12"/>
      <c r="D22" s="12"/>
      <c r="E22" s="14">
        <f>E20/E21</f>
        <v>0.19496087504286777</v>
      </c>
    </row>
  </sheetData>
  <mergeCells count="1">
    <mergeCell ref="A1:E1"/>
  </mergeCells>
  <phoneticPr fontId="4" type="noConversion"/>
  <pageMargins left="0.75" right="0.75" top="1" bottom="1" header="0.5" footer="0.5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A2" sqref="A2"/>
    </sheetView>
  </sheetViews>
  <sheetFormatPr defaultColWidth="8.81640625" defaultRowHeight="14.5" x14ac:dyDescent="0.35"/>
  <cols>
    <col min="1" max="1" width="65.81640625" style="3" customWidth="1"/>
    <col min="2" max="2" width="11" style="3" customWidth="1"/>
    <col min="3" max="5" width="12" style="3" customWidth="1"/>
    <col min="6" max="16384" width="8.81640625" style="3"/>
  </cols>
  <sheetData>
    <row r="1" spans="1:5" s="18" customFormat="1" x14ac:dyDescent="0.35">
      <c r="A1" s="19" t="s">
        <v>104</v>
      </c>
      <c r="B1" s="19" t="s">
        <v>38</v>
      </c>
      <c r="C1" s="19" t="s">
        <v>39</v>
      </c>
      <c r="D1" s="19" t="s">
        <v>40</v>
      </c>
      <c r="E1" s="19" t="s">
        <v>41</v>
      </c>
    </row>
    <row r="2" spans="1:5" s="18" customFormat="1" x14ac:dyDescent="0.35">
      <c r="A2" s="20" t="s">
        <v>44</v>
      </c>
      <c r="B2" s="8"/>
      <c r="C2" s="8"/>
      <c r="D2" s="8">
        <v>59677.8</v>
      </c>
      <c r="E2" s="8">
        <v>59677.8</v>
      </c>
    </row>
    <row r="3" spans="1:5" s="18" customFormat="1" x14ac:dyDescent="0.35">
      <c r="A3" s="20" t="s">
        <v>45</v>
      </c>
      <c r="B3" s="8">
        <v>59514</v>
      </c>
      <c r="C3" s="8"/>
      <c r="D3" s="8"/>
      <c r="E3" s="8">
        <v>59514</v>
      </c>
    </row>
    <row r="4" spans="1:5" s="18" customFormat="1" x14ac:dyDescent="0.35">
      <c r="A4" s="20" t="s">
        <v>46</v>
      </c>
      <c r="B4" s="8"/>
      <c r="C4" s="8">
        <v>228436.48000000001</v>
      </c>
      <c r="D4" s="8">
        <v>238683.48</v>
      </c>
      <c r="E4" s="8">
        <v>467119.96</v>
      </c>
    </row>
    <row r="5" spans="1:5" s="18" customFormat="1" x14ac:dyDescent="0.35">
      <c r="A5" s="20" t="s">
        <v>47</v>
      </c>
      <c r="B5" s="8">
        <v>314714.40000000002</v>
      </c>
      <c r="C5" s="8"/>
      <c r="D5" s="8">
        <v>161348</v>
      </c>
      <c r="E5" s="8">
        <v>476062.4</v>
      </c>
    </row>
    <row r="6" spans="1:5" s="15" customFormat="1" x14ac:dyDescent="0.35">
      <c r="A6" s="20" t="s">
        <v>48</v>
      </c>
      <c r="B6" s="8"/>
      <c r="C6" s="8"/>
      <c r="D6" s="8">
        <v>233110.16</v>
      </c>
      <c r="E6" s="8">
        <v>233110.16</v>
      </c>
    </row>
    <row r="7" spans="1:5" s="15" customFormat="1" x14ac:dyDescent="0.35">
      <c r="A7" s="20" t="s">
        <v>49</v>
      </c>
      <c r="B7" s="8">
        <v>394424.31999999995</v>
      </c>
      <c r="C7" s="8"/>
      <c r="D7" s="8"/>
      <c r="E7" s="8">
        <v>394424.31999999995</v>
      </c>
    </row>
    <row r="8" spans="1:5" x14ac:dyDescent="0.35">
      <c r="A8" s="20" t="s">
        <v>50</v>
      </c>
      <c r="B8" s="8"/>
      <c r="C8" s="8">
        <v>76576.5</v>
      </c>
      <c r="D8" s="8"/>
      <c r="E8" s="8">
        <v>76576.5</v>
      </c>
    </row>
    <row r="9" spans="1:5" x14ac:dyDescent="0.35">
      <c r="A9" s="20" t="s">
        <v>51</v>
      </c>
      <c r="B9" s="8">
        <v>2913525.6</v>
      </c>
      <c r="C9" s="8">
        <v>5669355.4699999997</v>
      </c>
      <c r="D9" s="8">
        <v>1337069.3999999999</v>
      </c>
      <c r="E9" s="8">
        <v>9919950.4700000007</v>
      </c>
    </row>
    <row r="10" spans="1:5" x14ac:dyDescent="0.35">
      <c r="A10" s="20" t="s">
        <v>52</v>
      </c>
      <c r="B10" s="8"/>
      <c r="C10" s="8"/>
      <c r="D10" s="8">
        <v>64646.400000000001</v>
      </c>
      <c r="E10" s="8">
        <v>64646.400000000001</v>
      </c>
    </row>
    <row r="11" spans="1:5" x14ac:dyDescent="0.35">
      <c r="A11" s="20" t="s">
        <v>53</v>
      </c>
      <c r="B11" s="8">
        <v>118314.46</v>
      </c>
      <c r="C11" s="8"/>
      <c r="D11" s="8"/>
      <c r="E11" s="8">
        <v>118314.46</v>
      </c>
    </row>
    <row r="12" spans="1:5" x14ac:dyDescent="0.35">
      <c r="A12" s="20" t="s">
        <v>54</v>
      </c>
      <c r="B12" s="8">
        <v>180244.40000000002</v>
      </c>
      <c r="C12" s="8">
        <v>937255.15</v>
      </c>
      <c r="D12" s="8">
        <v>822391.59999999986</v>
      </c>
      <c r="E12" s="8">
        <v>1939891.15</v>
      </c>
    </row>
    <row r="13" spans="1:5" x14ac:dyDescent="0.35">
      <c r="A13" s="20" t="s">
        <v>55</v>
      </c>
      <c r="B13" s="8"/>
      <c r="C13" s="8"/>
      <c r="D13" s="8">
        <v>6004718.6600000001</v>
      </c>
      <c r="E13" s="8">
        <v>6004718.6600000001</v>
      </c>
    </row>
    <row r="14" spans="1:5" x14ac:dyDescent="0.35">
      <c r="A14" s="20" t="s">
        <v>56</v>
      </c>
      <c r="B14" s="8"/>
      <c r="C14" s="8">
        <v>929860.05</v>
      </c>
      <c r="D14" s="8"/>
      <c r="E14" s="8">
        <v>929860.05</v>
      </c>
    </row>
    <row r="15" spans="1:5" x14ac:dyDescent="0.35">
      <c r="A15" s="20" t="s">
        <v>57</v>
      </c>
      <c r="B15" s="8"/>
      <c r="C15" s="8">
        <v>2490</v>
      </c>
      <c r="D15" s="8">
        <v>387585</v>
      </c>
      <c r="E15" s="8">
        <v>390075</v>
      </c>
    </row>
    <row r="16" spans="1:5" x14ac:dyDescent="0.35">
      <c r="A16" s="20" t="s">
        <v>58</v>
      </c>
      <c r="B16" s="8"/>
      <c r="C16" s="8">
        <v>642936</v>
      </c>
      <c r="D16" s="8"/>
      <c r="E16" s="8">
        <v>642936</v>
      </c>
    </row>
    <row r="17" spans="1:5" x14ac:dyDescent="0.35">
      <c r="A17" s="20" t="s">
        <v>59</v>
      </c>
      <c r="B17" s="8">
        <v>595470</v>
      </c>
      <c r="C17" s="8">
        <v>4353485.5999999996</v>
      </c>
      <c r="D17" s="8">
        <v>5044695.92</v>
      </c>
      <c r="E17" s="8">
        <v>9993651.5199999996</v>
      </c>
    </row>
    <row r="18" spans="1:5" x14ac:dyDescent="0.35">
      <c r="A18" s="20" t="s">
        <v>60</v>
      </c>
      <c r="B18" s="8">
        <v>226200</v>
      </c>
      <c r="C18" s="8"/>
      <c r="D18" s="8"/>
      <c r="E18" s="8">
        <v>226200</v>
      </c>
    </row>
    <row r="19" spans="1:5" x14ac:dyDescent="0.35">
      <c r="A19" s="20" t="s">
        <v>61</v>
      </c>
      <c r="B19" s="8">
        <v>988779.9</v>
      </c>
      <c r="C19" s="8">
        <v>504750</v>
      </c>
      <c r="D19" s="8">
        <v>2133502.92</v>
      </c>
      <c r="E19" s="8">
        <v>3627032.82</v>
      </c>
    </row>
    <row r="20" spans="1:5" x14ac:dyDescent="0.35">
      <c r="A20" s="20" t="s">
        <v>62</v>
      </c>
      <c r="B20" s="8">
        <v>627840.86</v>
      </c>
      <c r="C20" s="8">
        <v>3463053.12</v>
      </c>
      <c r="D20" s="8">
        <v>2311224</v>
      </c>
      <c r="E20" s="8">
        <v>6402117.9800000004</v>
      </c>
    </row>
    <row r="21" spans="1:5" x14ac:dyDescent="0.35">
      <c r="A21" s="20" t="s">
        <v>63</v>
      </c>
      <c r="B21" s="8">
        <v>324019.83999999997</v>
      </c>
      <c r="C21" s="8"/>
      <c r="D21" s="8"/>
      <c r="E21" s="8">
        <v>324019.83999999997</v>
      </c>
    </row>
    <row r="22" spans="1:5" x14ac:dyDescent="0.35">
      <c r="A22" s="20" t="s">
        <v>64</v>
      </c>
      <c r="B22" s="8">
        <v>220546.44</v>
      </c>
      <c r="C22" s="8"/>
      <c r="D22" s="8">
        <v>170375</v>
      </c>
      <c r="E22" s="8">
        <v>390921.44</v>
      </c>
    </row>
    <row r="23" spans="1:5" x14ac:dyDescent="0.35">
      <c r="A23" s="20" t="s">
        <v>65</v>
      </c>
      <c r="B23" s="8"/>
      <c r="C23" s="8">
        <v>214710</v>
      </c>
      <c r="D23" s="8"/>
      <c r="E23" s="8">
        <v>214710</v>
      </c>
    </row>
    <row r="24" spans="1:5" x14ac:dyDescent="0.35">
      <c r="A24" s="20" t="s">
        <v>66</v>
      </c>
      <c r="B24" s="8"/>
      <c r="C24" s="8"/>
      <c r="D24" s="8">
        <v>68315.31</v>
      </c>
      <c r="E24" s="8">
        <v>68315.31</v>
      </c>
    </row>
    <row r="25" spans="1:5" x14ac:dyDescent="0.35">
      <c r="A25" s="20" t="s">
        <v>67</v>
      </c>
      <c r="B25" s="8">
        <v>127380</v>
      </c>
      <c r="C25" s="8"/>
      <c r="D25" s="8"/>
      <c r="E25" s="8">
        <v>127380</v>
      </c>
    </row>
    <row r="26" spans="1:5" x14ac:dyDescent="0.35">
      <c r="A26" s="20" t="s">
        <v>68</v>
      </c>
      <c r="B26" s="8">
        <v>277926</v>
      </c>
      <c r="C26" s="8"/>
      <c r="D26" s="8"/>
      <c r="E26" s="8">
        <v>277926</v>
      </c>
    </row>
    <row r="27" spans="1:5" x14ac:dyDescent="0.35">
      <c r="A27" s="20" t="s">
        <v>69</v>
      </c>
      <c r="B27" s="8"/>
      <c r="C27" s="8">
        <v>41340</v>
      </c>
      <c r="D27" s="8"/>
      <c r="E27" s="8">
        <v>41340</v>
      </c>
    </row>
    <row r="28" spans="1:5" x14ac:dyDescent="0.35">
      <c r="A28" s="20" t="s">
        <v>70</v>
      </c>
      <c r="B28" s="8">
        <v>197400</v>
      </c>
      <c r="C28" s="8">
        <v>209076</v>
      </c>
      <c r="D28" s="8"/>
      <c r="E28" s="8">
        <v>406476</v>
      </c>
    </row>
    <row r="29" spans="1:5" x14ac:dyDescent="0.35">
      <c r="A29" s="20" t="s">
        <v>71</v>
      </c>
      <c r="B29" s="8">
        <v>103532.1</v>
      </c>
      <c r="C29" s="8">
        <v>121114</v>
      </c>
      <c r="D29" s="8">
        <v>69922.600000000006</v>
      </c>
      <c r="E29" s="8">
        <v>294568.7</v>
      </c>
    </row>
    <row r="30" spans="1:5" x14ac:dyDescent="0.35">
      <c r="A30" s="20" t="s">
        <v>72</v>
      </c>
      <c r="B30" s="8"/>
      <c r="C30" s="8">
        <v>114912</v>
      </c>
      <c r="D30" s="8"/>
      <c r="E30" s="8">
        <v>114912</v>
      </c>
    </row>
    <row r="31" spans="1:5" x14ac:dyDescent="0.35">
      <c r="A31" s="20" t="s">
        <v>73</v>
      </c>
      <c r="B31" s="8"/>
      <c r="C31" s="8">
        <v>62212</v>
      </c>
      <c r="D31" s="8"/>
      <c r="E31" s="8">
        <v>62212</v>
      </c>
    </row>
    <row r="32" spans="1:5" x14ac:dyDescent="0.35">
      <c r="A32" s="20" t="s">
        <v>74</v>
      </c>
      <c r="B32" s="8"/>
      <c r="C32" s="8"/>
      <c r="D32" s="8">
        <v>1739393.18</v>
      </c>
      <c r="E32" s="8">
        <v>1739393.18</v>
      </c>
    </row>
    <row r="33" spans="1:5" x14ac:dyDescent="0.35">
      <c r="A33" s="20" t="s">
        <v>75</v>
      </c>
      <c r="B33" s="8">
        <v>217800</v>
      </c>
      <c r="C33" s="8"/>
      <c r="D33" s="8"/>
      <c r="E33" s="8">
        <v>217800</v>
      </c>
    </row>
    <row r="34" spans="1:5" x14ac:dyDescent="0.35">
      <c r="A34" s="20" t="s">
        <v>76</v>
      </c>
      <c r="B34" s="8">
        <v>58504</v>
      </c>
      <c r="C34" s="8">
        <v>178352</v>
      </c>
      <c r="D34" s="8"/>
      <c r="E34" s="8">
        <v>236856</v>
      </c>
    </row>
    <row r="35" spans="1:5" x14ac:dyDescent="0.35">
      <c r="A35" s="20" t="s">
        <v>77</v>
      </c>
      <c r="B35" s="8">
        <v>147888</v>
      </c>
      <c r="C35" s="8"/>
      <c r="D35" s="8">
        <v>144933.4</v>
      </c>
      <c r="E35" s="8">
        <v>292821.40000000002</v>
      </c>
    </row>
    <row r="36" spans="1:5" x14ac:dyDescent="0.35">
      <c r="A36" s="20" t="s">
        <v>78</v>
      </c>
      <c r="B36" s="8">
        <v>784854.05</v>
      </c>
      <c r="C36" s="8">
        <v>663033.46</v>
      </c>
      <c r="D36" s="8">
        <v>903374.24</v>
      </c>
      <c r="E36" s="8">
        <v>2351261.75</v>
      </c>
    </row>
    <row r="37" spans="1:5" s="16" customFormat="1" x14ac:dyDescent="0.35">
      <c r="A37" s="20" t="s">
        <v>79</v>
      </c>
      <c r="B37" s="8"/>
      <c r="C37" s="8"/>
      <c r="D37" s="8">
        <v>10566198.5</v>
      </c>
      <c r="E37" s="8">
        <v>10566198.5</v>
      </c>
    </row>
    <row r="38" spans="1:5" s="16" customFormat="1" x14ac:dyDescent="0.35">
      <c r="A38" s="20" t="s">
        <v>80</v>
      </c>
      <c r="B38" s="8">
        <v>171007.2</v>
      </c>
      <c r="C38" s="8">
        <v>183547.73</v>
      </c>
      <c r="D38" s="8"/>
      <c r="E38" s="8">
        <v>354554.93000000005</v>
      </c>
    </row>
    <row r="39" spans="1:5" s="16" customFormat="1" x14ac:dyDescent="0.35">
      <c r="A39" s="20" t="s">
        <v>81</v>
      </c>
      <c r="B39" s="8">
        <v>1835136</v>
      </c>
      <c r="C39" s="8"/>
      <c r="D39" s="8">
        <v>693959.6</v>
      </c>
      <c r="E39" s="8">
        <v>2529095.6</v>
      </c>
    </row>
    <row r="40" spans="1:5" s="16" customFormat="1" x14ac:dyDescent="0.35">
      <c r="A40" s="20" t="s">
        <v>82</v>
      </c>
      <c r="B40" s="8"/>
      <c r="C40" s="8">
        <v>47133.520000000004</v>
      </c>
      <c r="D40" s="8">
        <v>77164</v>
      </c>
      <c r="E40" s="8">
        <v>124297.52</v>
      </c>
    </row>
    <row r="41" spans="1:5" s="16" customFormat="1" x14ac:dyDescent="0.35">
      <c r="A41" s="20" t="s">
        <v>83</v>
      </c>
      <c r="B41" s="8"/>
      <c r="C41" s="8"/>
      <c r="D41" s="8">
        <v>2413572.3200000003</v>
      </c>
      <c r="E41" s="8">
        <v>2413572.3200000003</v>
      </c>
    </row>
    <row r="42" spans="1:5" s="16" customFormat="1" x14ac:dyDescent="0.35">
      <c r="A42" s="20" t="s">
        <v>84</v>
      </c>
      <c r="B42" s="8">
        <v>9817.5</v>
      </c>
      <c r="C42" s="8"/>
      <c r="D42" s="8"/>
      <c r="E42" s="8">
        <v>9817.5</v>
      </c>
    </row>
    <row r="43" spans="1:5" s="16" customFormat="1" x14ac:dyDescent="0.35">
      <c r="A43" s="20" t="s">
        <v>85</v>
      </c>
      <c r="B43" s="8"/>
      <c r="C43" s="8"/>
      <c r="D43" s="8">
        <v>133284.79999999999</v>
      </c>
      <c r="E43" s="8">
        <v>133284.79999999999</v>
      </c>
    </row>
    <row r="44" spans="1:5" s="16" customFormat="1" x14ac:dyDescent="0.35">
      <c r="A44" s="20" t="s">
        <v>86</v>
      </c>
      <c r="B44" s="8">
        <v>48132</v>
      </c>
      <c r="C44" s="8"/>
      <c r="D44" s="8"/>
      <c r="E44" s="8">
        <v>48132</v>
      </c>
    </row>
    <row r="45" spans="1:5" s="16" customFormat="1" x14ac:dyDescent="0.35">
      <c r="A45" s="20" t="s">
        <v>87</v>
      </c>
      <c r="B45" s="8"/>
      <c r="C45" s="8">
        <v>174940.79</v>
      </c>
      <c r="D45" s="8"/>
      <c r="E45" s="8">
        <v>174940.79</v>
      </c>
    </row>
    <row r="46" spans="1:5" s="16" customFormat="1" x14ac:dyDescent="0.35">
      <c r="A46" s="20" t="s">
        <v>88</v>
      </c>
      <c r="B46" s="8"/>
      <c r="C46" s="8">
        <v>433741</v>
      </c>
      <c r="D46" s="8">
        <v>382690</v>
      </c>
      <c r="E46" s="8">
        <v>816431</v>
      </c>
    </row>
    <row r="47" spans="1:5" s="16" customFormat="1" x14ac:dyDescent="0.35">
      <c r="A47" s="20" t="s">
        <v>89</v>
      </c>
      <c r="B47" s="8"/>
      <c r="C47" s="8">
        <v>182727.5</v>
      </c>
      <c r="D47" s="8"/>
      <c r="E47" s="8">
        <v>182727.5</v>
      </c>
    </row>
    <row r="48" spans="1:5" s="16" customFormat="1" x14ac:dyDescent="0.35">
      <c r="A48" s="20" t="s">
        <v>90</v>
      </c>
      <c r="B48" s="8"/>
      <c r="C48" s="8"/>
      <c r="D48" s="8">
        <v>58363.5</v>
      </c>
      <c r="E48" s="8">
        <v>58363.5</v>
      </c>
    </row>
    <row r="49" spans="1:5" s="16" customFormat="1" x14ac:dyDescent="0.35">
      <c r="A49" s="20" t="s">
        <v>91</v>
      </c>
      <c r="B49" s="8"/>
      <c r="C49" s="8">
        <v>151924.48000000001</v>
      </c>
      <c r="D49" s="8">
        <v>370100.68</v>
      </c>
      <c r="E49" s="8">
        <v>522025.16000000003</v>
      </c>
    </row>
    <row r="50" spans="1:5" s="16" customFormat="1" x14ac:dyDescent="0.35">
      <c r="A50" s="20" t="s">
        <v>92</v>
      </c>
      <c r="B50" s="8"/>
      <c r="C50" s="8">
        <v>807651</v>
      </c>
      <c r="D50" s="8">
        <v>1428624.3</v>
      </c>
      <c r="E50" s="8">
        <v>2236275.2999999998</v>
      </c>
    </row>
    <row r="51" spans="1:5" s="16" customFormat="1" x14ac:dyDescent="0.35">
      <c r="A51" s="20" t="s">
        <v>93</v>
      </c>
      <c r="B51" s="8"/>
      <c r="C51" s="8">
        <v>1765396.5</v>
      </c>
      <c r="D51" s="8"/>
      <c r="E51" s="8">
        <v>1765396.5</v>
      </c>
    </row>
    <row r="52" spans="1:5" s="16" customFormat="1" x14ac:dyDescent="0.35">
      <c r="A52" s="20" t="s">
        <v>94</v>
      </c>
      <c r="B52" s="8">
        <v>371200</v>
      </c>
      <c r="C52" s="8">
        <v>1284678.97</v>
      </c>
      <c r="D52" s="8"/>
      <c r="E52" s="8">
        <v>1655878.97</v>
      </c>
    </row>
    <row r="53" spans="1:5" s="16" customFormat="1" x14ac:dyDescent="0.35">
      <c r="A53" s="20" t="s">
        <v>95</v>
      </c>
      <c r="B53" s="8"/>
      <c r="C53" s="8">
        <v>1063676.4000000001</v>
      </c>
      <c r="D53" s="8">
        <v>763627.8</v>
      </c>
      <c r="E53" s="8">
        <v>1827304.2000000002</v>
      </c>
    </row>
    <row r="54" spans="1:5" s="16" customFormat="1" x14ac:dyDescent="0.35">
      <c r="A54" s="20" t="s">
        <v>96</v>
      </c>
      <c r="B54" s="8"/>
      <c r="C54" s="8">
        <v>77748</v>
      </c>
      <c r="D54" s="8"/>
      <c r="E54" s="8">
        <v>77748</v>
      </c>
    </row>
    <row r="55" spans="1:5" s="16" customFormat="1" x14ac:dyDescent="0.35">
      <c r="A55" s="20" t="s">
        <v>97</v>
      </c>
      <c r="B55" s="8">
        <v>65631</v>
      </c>
      <c r="C55" s="8">
        <v>138589.20000000001</v>
      </c>
      <c r="D55" s="8">
        <v>69168</v>
      </c>
      <c r="E55" s="8">
        <v>273388.2</v>
      </c>
    </row>
    <row r="56" spans="1:5" s="16" customFormat="1" x14ac:dyDescent="0.35">
      <c r="A56" s="20" t="s">
        <v>98</v>
      </c>
      <c r="B56" s="8"/>
      <c r="C56" s="8"/>
      <c r="D56" s="8">
        <v>1324.8</v>
      </c>
      <c r="E56" s="8">
        <v>1324.8</v>
      </c>
    </row>
    <row r="57" spans="1:5" s="16" customFormat="1" x14ac:dyDescent="0.35">
      <c r="A57" s="20" t="s">
        <v>99</v>
      </c>
      <c r="B57" s="8">
        <v>784667.5</v>
      </c>
      <c r="C57" s="8">
        <v>2051168.5</v>
      </c>
      <c r="D57" s="8">
        <v>98358</v>
      </c>
      <c r="E57" s="8">
        <v>2934194</v>
      </c>
    </row>
    <row r="58" spans="1:5" s="16" customFormat="1" x14ac:dyDescent="0.35">
      <c r="A58" s="20" t="s">
        <v>100</v>
      </c>
      <c r="B58" s="8">
        <v>1060570</v>
      </c>
      <c r="C58" s="8">
        <v>589560.89</v>
      </c>
      <c r="D58" s="8">
        <v>1726461.5</v>
      </c>
      <c r="E58" s="8">
        <v>3376592.39</v>
      </c>
    </row>
    <row r="59" spans="1:5" s="16" customFormat="1" x14ac:dyDescent="0.35">
      <c r="A59" s="20" t="s">
        <v>101</v>
      </c>
      <c r="B59" s="8"/>
      <c r="C59" s="8">
        <v>1306720</v>
      </c>
      <c r="D59" s="8"/>
      <c r="E59" s="8">
        <v>1306720</v>
      </c>
    </row>
    <row r="60" spans="1:5" s="16" customFormat="1" x14ac:dyDescent="0.35">
      <c r="A60" s="20" t="s">
        <v>102</v>
      </c>
      <c r="B60" s="8"/>
      <c r="C60" s="8">
        <v>6197.6</v>
      </c>
      <c r="D60" s="8"/>
      <c r="E60" s="8">
        <v>6197.6</v>
      </c>
    </row>
    <row r="61" spans="1:5" s="16" customFormat="1" x14ac:dyDescent="0.35">
      <c r="A61" s="20" t="s">
        <v>103</v>
      </c>
      <c r="B61" s="8">
        <v>1429068.39</v>
      </c>
      <c r="C61" s="8">
        <v>996190.38000000012</v>
      </c>
      <c r="D61" s="8">
        <v>1155809.28</v>
      </c>
      <c r="E61" s="8">
        <v>3581068.05</v>
      </c>
    </row>
    <row r="62" spans="1:5" s="16" customFormat="1" x14ac:dyDescent="0.35">
      <c r="A62" s="21" t="s">
        <v>41</v>
      </c>
      <c r="B62" s="30">
        <v>14654107.960000001</v>
      </c>
      <c r="C62" s="30">
        <v>29674540.289999995</v>
      </c>
      <c r="D62" s="30">
        <v>41833674.149999984</v>
      </c>
      <c r="E62" s="30">
        <v>86162322.400000006</v>
      </c>
    </row>
    <row r="63" spans="1:5" s="16" customFormat="1" x14ac:dyDescent="0.35">
      <c r="A63" s="22"/>
      <c r="B63" s="23"/>
      <c r="C63" s="23"/>
      <c r="D63" s="23"/>
      <c r="E63" s="23"/>
    </row>
    <row r="64" spans="1:5" s="16" customFormat="1" x14ac:dyDescent="0.35">
      <c r="A64" s="22"/>
      <c r="B64" s="23"/>
      <c r="C64" s="23"/>
      <c r="D64" s="23"/>
      <c r="E64" s="23"/>
    </row>
    <row r="65" spans="1:5" s="17" customFormat="1" ht="18.5" customHeight="1" x14ac:dyDescent="0.35">
      <c r="A65" s="11" t="s">
        <v>5</v>
      </c>
      <c r="B65" s="12">
        <f>COUNT(B2:B61)</f>
        <v>29</v>
      </c>
      <c r="C65" s="12">
        <f>COUNT(C2:C61)</f>
        <v>35</v>
      </c>
      <c r="D65" s="12">
        <f>COUNT(D2:D61)</f>
        <v>33</v>
      </c>
      <c r="E65" s="13">
        <f>COUNT(E2:E61)</f>
        <v>60</v>
      </c>
    </row>
    <row r="66" spans="1:5" s="17" customFormat="1" ht="18.5" customHeight="1" x14ac:dyDescent="0.35">
      <c r="A66" s="11" t="s">
        <v>34</v>
      </c>
      <c r="B66" s="12">
        <v>54</v>
      </c>
      <c r="C66" s="12">
        <v>62</v>
      </c>
      <c r="D66" s="12">
        <v>54</v>
      </c>
      <c r="E66" s="12"/>
    </row>
    <row r="67" spans="1:5" s="17" customFormat="1" x14ac:dyDescent="0.35">
      <c r="A67" s="11" t="s">
        <v>32</v>
      </c>
      <c r="B67" s="12"/>
      <c r="C67" s="12"/>
      <c r="D67" s="12"/>
      <c r="E67" s="13"/>
    </row>
    <row r="68" spans="1:5" s="17" customFormat="1" x14ac:dyDescent="0.35">
      <c r="A68" s="11" t="s">
        <v>33</v>
      </c>
      <c r="B68" s="12"/>
      <c r="C68" s="12"/>
      <c r="D68" s="12"/>
      <c r="E68" s="13"/>
    </row>
  </sheetData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B4" sqref="B4"/>
    </sheetView>
  </sheetViews>
  <sheetFormatPr defaultRowHeight="14.5" x14ac:dyDescent="0.35"/>
  <cols>
    <col min="1" max="10" width="20" customWidth="1"/>
  </cols>
  <sheetData>
    <row r="1" spans="1:10" ht="21" x14ac:dyDescent="0.5">
      <c r="A1" s="28" t="s">
        <v>7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x14ac:dyDescent="0.35">
      <c r="A3" s="1" t="s">
        <v>8</v>
      </c>
      <c r="B3" s="1" t="s">
        <v>14</v>
      </c>
      <c r="C3" s="1" t="s">
        <v>15</v>
      </c>
      <c r="D3" s="1"/>
      <c r="E3" s="1" t="s">
        <v>16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</row>
    <row r="4" spans="1:10" x14ac:dyDescent="0.35">
      <c r="A4" s="2" t="s">
        <v>17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 t="s">
        <v>18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5">
      <c r="A6" s="2" t="s">
        <v>19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2" t="s">
        <v>20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5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5">
      <c r="A9" s="2" t="s">
        <v>22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 t="s">
        <v>24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 t="s">
        <v>23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 t="s">
        <v>27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 t="s">
        <v>28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4" t="s">
        <v>29</v>
      </c>
    </row>
  </sheetData>
  <mergeCells count="1">
    <mergeCell ref="A1: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Summary</vt:lpstr>
      <vt:lpstr>Customerwise Sales</vt:lpstr>
      <vt:lpstr>Planning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meghran</dc:creator>
  <cp:lastModifiedBy>Hitesh Jain</cp:lastModifiedBy>
  <cp:lastPrinted>2026-07-13T12:02:07Z</cp:lastPrinted>
  <dcterms:created xsi:type="dcterms:W3CDTF">2026-07-03T03:50:45Z</dcterms:created>
  <dcterms:modified xsi:type="dcterms:W3CDTF">2026-07-14T15:33:04Z</dcterms:modified>
</cp:coreProperties>
</file>