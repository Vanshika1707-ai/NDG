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PL SALES\OneDrive\Desktop\New folder (3)\umesh panday\"/>
    </mc:Choice>
  </mc:AlternateContent>
  <bookViews>
    <workbookView xWindow="0" yWindow="0" windowWidth="23040" windowHeight="7692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Sales'!$A$6:$E$22</definedName>
  </definedNames>
  <calcPr calcId="162913"/>
</workbook>
</file>

<file path=xl/calcChain.xml><?xml version="1.0" encoding="utf-8"?>
<calcChain xmlns="http://schemas.openxmlformats.org/spreadsheetml/2006/main">
  <c r="E5" i="1" l="1"/>
  <c r="E10" i="1"/>
  <c r="E9" i="1"/>
  <c r="E14" i="1"/>
  <c r="E15" i="1" s="1"/>
  <c r="E12" i="1"/>
  <c r="E19" i="4"/>
  <c r="D19" i="4"/>
  <c r="C19" i="4"/>
  <c r="B19" i="4"/>
  <c r="E13" i="1" l="1"/>
  <c r="E4" i="1"/>
  <c r="E8" i="1" l="1"/>
  <c r="E3" i="1" l="1"/>
  <c r="E7" i="1"/>
  <c r="E6" i="1"/>
</calcChain>
</file>

<file path=xl/sharedStrings.xml><?xml version="1.0" encoding="utf-8"?>
<sst xmlns="http://schemas.openxmlformats.org/spreadsheetml/2006/main" count="67" uniqueCount="66">
  <si>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</si>
  <si>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</si>
  <si>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</si>
  <si>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</si>
  <si>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</si>
  <si>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</si>
  <si>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</si>
  <si>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</si>
  <si>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</si>
  <si>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</si>
  <si>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</si>
  <si>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</si>
  <si>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</si>
  <si>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</si>
  <si>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</si>
  <si>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</si>
  <si>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</si>
  <si>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</si>
  <si>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</si>
  <si>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</si>
  <si>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</si>
  <si>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</si>
  <si>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</si>
  <si>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</si>
  <si>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</si>
  <si>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</si>
  <si>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</si>
  <si>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</si>
  <si>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</si>
  <si>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</si>
  <si>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Cosmo / Amazing Media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</si>
  <si>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</si>
  <si>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</si>
  <si>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</si>
  <si>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</si>
  <si>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</si>
  <si>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</si>
  <si>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</si>
  <si>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</si>
  <si>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</si>
  <si>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</si>
  <si>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</si>
  <si>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</si>
  <si>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Row Labels</t>
  </si>
  <si>
    <t>Average Debtor (Closing Debtor+Opning Debtor)/2</t>
  </si>
  <si>
    <t>Umesh Panday Template - Business at a Glance (Quarter 1)</t>
  </si>
  <si>
    <t>AMARNATH DELHI COLOUR LAB &amp; PHOTO GOODS CENTRE PROPRAJENDRA KUMAR SAXENA</t>
  </si>
  <si>
    <t>AMBICA ALBUMS PROP NISHA CHAUHAN</t>
  </si>
  <si>
    <t>JANTA DIGITAL POINT PROP.SADHNA KAPOOR</t>
  </si>
  <si>
    <t>JCLAS ALBUMS PROP DEEPAK KAPOOR</t>
  </si>
  <si>
    <t>KRITI DIGITAL COLOUR LAB AND STUDIO PROP JITENDRA KUMAR</t>
  </si>
  <si>
    <t>MAHALAXMI DIGITAL COLOUR LAB</t>
  </si>
  <si>
    <t>MAKHAN STUDIO PROP BRIJESH KUMAR GUPTA</t>
  </si>
  <si>
    <t>MV MULTI SERVICES PROP SWAPNIL SRIVASTAVA</t>
  </si>
  <si>
    <t>PAPER LINKS PROP.DEEPAK AGARWAL</t>
  </si>
  <si>
    <t>SARAWAGI DIGITAL PRINTS PROP SHILPI SARAWAGI</t>
  </si>
  <si>
    <t>SHREE PAPER AGENCIES PROP MUKESH AGARWAL</t>
  </si>
  <si>
    <t>SHREE SHYAM PRINTING PRESS PROP SUMIT PANDEY</t>
  </si>
  <si>
    <t>VISHAL COLOR LAB</t>
  </si>
  <si>
    <t>Self Adhesive (ST)</t>
  </si>
  <si>
    <t>Other</t>
  </si>
  <si>
    <t>Sara Print / Amazing Media</t>
  </si>
  <si>
    <t>Artica (KG.)</t>
  </si>
  <si>
    <t>Sara Lam / Amazing Media (KG.)</t>
  </si>
  <si>
    <t>April Fine (Board)/Paper And Board  (KG.)</t>
  </si>
  <si>
    <t>Binding Board (KG.)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</si>
</sst>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164" fontId="0" fillId="0" borderId="2" xfId="1" applyFont="1" applyBorder="1"/>
    <xf numFmtId="164" fontId="6" fillId="0" borderId="2" xfId="1" applyFont="1" applyBorder="1"/>
    <xf numFmtId="164" fontId="6" fillId="0" borderId="2" xfId="1" applyFont="1" applyBorder="1" applyAlignment="1">
      <alignment vertical="center"/>
    </xf>
    <xf numFmtId="0" fontId="0" fillId="3" borderId="2" xfId="0" applyFill="1" applyBorder="1"/>
    <xf numFmtId="164" fontId="0" fillId="3" borderId="2" xfId="1" applyFont="1" applyFill="1" applyBorder="1"/>
    <xf numFmtId="164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A10" sqref="A10"/>
    </sheetView>
  </sheetViews>
  <sheetFormatPr defaultRowHeight="18.45" customHeight="1" x14ac:dyDescent="0.3"/>
  <cols>
    <col min="1" max="1" width="52.5546875" customWidth="1"/>
    <col min="2" max="3" width="14.109375" customWidth="1"/>
    <col min="4" max="4" width="15.109375" bestFit="1" customWidth="1"/>
    <col min="5" max="5" width="15.6640625" customWidth="1"/>
  </cols>
  <sheetData>
    <row r="1" spans="1:5" s="14" customFormat="1" ht="26.4" customHeight="1" x14ac:dyDescent="0.3">
      <c r="A1" s="27" t="s">
        <v>45</v>
      </c>
      <c r="B1" s="28"/>
      <c r="C1" s="28"/>
      <c r="D1" s="28"/>
      <c r="E1" s="28"/>
    </row>
    <row r="2" spans="1:5" s="14" customFormat="1" ht="21.6" customHeight="1" x14ac:dyDescent="0.3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</row>
    <row r="3" spans="1:5" ht="18.45" customHeight="1" x14ac:dyDescent="0.3">
      <c r="A3" s="6" t="s">
        <v>64</v>
      </c>
      <c r="B3" s="7"/>
      <c r="C3" s="7">
        <v>137.6</v>
      </c>
      <c r="D3" s="7">
        <v>7122.96</v>
      </c>
      <c r="E3" s="8">
        <f t="shared" ref="E3:E10" si="0">SUM(B3:D3)</f>
        <v>7260.56</v>
      </c>
    </row>
    <row r="4" spans="1:5" s="17" customFormat="1" ht="14.4" x14ac:dyDescent="0.3">
      <c r="A4" s="6" t="s">
        <v>65</v>
      </c>
      <c r="B4" s="7"/>
      <c r="C4" s="7">
        <v>52.74</v>
      </c>
      <c r="D4" s="7">
        <v>412</v>
      </c>
      <c r="E4" s="8">
        <f t="shared" si="0"/>
        <v>464.74</v>
      </c>
    </row>
    <row r="5" spans="1:5" s="26" customFormat="1" ht="18.45" customHeight="1" x14ac:dyDescent="0.3">
      <c r="A5" s="5" t="s">
        <v>61</v>
      </c>
      <c r="B5" s="7">
        <v>13000</v>
      </c>
      <c r="C5" s="7">
        <v>24200</v>
      </c>
      <c r="D5" s="7">
        <v>58600</v>
      </c>
      <c r="E5" s="8">
        <f t="shared" si="0"/>
        <v>95800</v>
      </c>
    </row>
    <row r="6" spans="1:5" ht="18.45" customHeight="1" x14ac:dyDescent="0.3">
      <c r="A6" s="5" t="s">
        <v>63</v>
      </c>
      <c r="B6" s="7">
        <v>66.099999999999994</v>
      </c>
      <c r="C6" s="7">
        <v>482.55999999999995</v>
      </c>
      <c r="D6" s="7">
        <v>774.78</v>
      </c>
      <c r="E6" s="8">
        <f t="shared" si="0"/>
        <v>1323.44</v>
      </c>
    </row>
    <row r="7" spans="1:5" ht="18.45" customHeight="1" x14ac:dyDescent="0.3">
      <c r="A7" s="5" t="s">
        <v>30</v>
      </c>
      <c r="B7" s="7"/>
      <c r="C7" s="7"/>
      <c r="D7" s="7">
        <v>7000</v>
      </c>
      <c r="E7" s="8">
        <f t="shared" si="0"/>
        <v>7000</v>
      </c>
    </row>
    <row r="8" spans="1:5" ht="18.45" customHeight="1" x14ac:dyDescent="0.3">
      <c r="A8" s="5" t="s">
        <v>62</v>
      </c>
      <c r="B8" s="7">
        <v>135.4</v>
      </c>
      <c r="C8" s="7">
        <v>1184.75</v>
      </c>
      <c r="D8" s="7">
        <v>249.05</v>
      </c>
      <c r="E8" s="9">
        <f t="shared" si="0"/>
        <v>1569.2</v>
      </c>
    </row>
    <row r="9" spans="1:5" ht="18.45" customHeight="1" x14ac:dyDescent="0.3">
      <c r="A9" s="5" t="s">
        <v>59</v>
      </c>
      <c r="B9" s="7"/>
      <c r="C9" s="7">
        <v>200</v>
      </c>
      <c r="D9" s="7">
        <v>1000</v>
      </c>
      <c r="E9" s="9">
        <f t="shared" si="0"/>
        <v>1200</v>
      </c>
    </row>
    <row r="10" spans="1:5" s="26" customFormat="1" ht="18.45" customHeight="1" x14ac:dyDescent="0.3">
      <c r="A10" s="5" t="s">
        <v>60</v>
      </c>
      <c r="B10" s="7">
        <v>90</v>
      </c>
      <c r="C10" s="7">
        <v>60</v>
      </c>
      <c r="D10" s="7"/>
      <c r="E10" s="9">
        <f t="shared" si="0"/>
        <v>150</v>
      </c>
    </row>
    <row r="11" spans="1:5" ht="18.45" customHeight="1" x14ac:dyDescent="0.3">
      <c r="A11" s="5"/>
      <c r="B11" s="7"/>
      <c r="C11" s="7"/>
      <c r="D11" s="7"/>
      <c r="E11" s="7"/>
    </row>
    <row r="12" spans="1:5" ht="18.45" customHeight="1" x14ac:dyDescent="0.3">
      <c r="A12" s="10" t="s">
        <v>31</v>
      </c>
      <c r="B12" s="11">
        <v>196110.57</v>
      </c>
      <c r="C12" s="11">
        <v>543303.28999999992</v>
      </c>
      <c r="D12" s="11">
        <v>1522674.5099999998</v>
      </c>
      <c r="E12" s="12">
        <f>B12+C12+D12</f>
        <v>2262088.3699999996</v>
      </c>
    </row>
    <row r="13" spans="1:5" ht="18.45" customHeight="1" x14ac:dyDescent="0.3">
      <c r="A13" s="10" t="s">
        <v>6</v>
      </c>
      <c r="B13" s="11">
        <v>401802</v>
      </c>
      <c r="C13" s="11">
        <v>594296</v>
      </c>
      <c r="D13" s="11">
        <v>968081</v>
      </c>
      <c r="E13" s="12">
        <f>SUM(B13:D13)</f>
        <v>1964179</v>
      </c>
    </row>
    <row r="14" spans="1:5" s="3" customFormat="1" ht="18.45" customHeight="1" x14ac:dyDescent="0.3">
      <c r="A14" s="10" t="s">
        <v>44</v>
      </c>
      <c r="B14" s="11"/>
      <c r="C14" s="11"/>
      <c r="D14" s="11"/>
      <c r="E14" s="12">
        <f>(987691+1692775)/2</f>
        <v>1340233</v>
      </c>
    </row>
    <row r="15" spans="1:5" s="3" customFormat="1" ht="18.45" customHeight="1" x14ac:dyDescent="0.3">
      <c r="A15" s="10" t="s">
        <v>36</v>
      </c>
      <c r="B15" s="11"/>
      <c r="C15" s="11"/>
      <c r="D15" s="11"/>
      <c r="E15" s="12">
        <f>E14/E12*90</f>
        <v>53.322837250606625</v>
      </c>
    </row>
    <row r="16" spans="1:5" s="3" customFormat="1" ht="18.45" customHeight="1" x14ac:dyDescent="0.3">
      <c r="A16" s="10" t="s">
        <v>37</v>
      </c>
      <c r="B16" s="11"/>
      <c r="C16" s="11"/>
      <c r="D16" s="11"/>
      <c r="E16" s="12">
        <v>0</v>
      </c>
    </row>
    <row r="17" spans="1:5" s="3" customFormat="1" ht="18.45" customHeight="1" x14ac:dyDescent="0.3">
      <c r="A17" s="10" t="s">
        <v>38</v>
      </c>
      <c r="B17" s="11"/>
      <c r="C17" s="11"/>
      <c r="D17" s="11"/>
      <c r="E17" s="12">
        <v>0</v>
      </c>
    </row>
    <row r="18" spans="1:5" ht="18.45" customHeight="1" x14ac:dyDescent="0.3">
      <c r="A18" s="10" t="s">
        <v>32</v>
      </c>
      <c r="B18" s="11"/>
      <c r="C18" s="11"/>
      <c r="D18" s="11"/>
      <c r="E18" s="13">
        <v>0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3" sqref="B3"/>
    </sheetView>
  </sheetViews>
  <sheetFormatPr defaultColWidth="8.77734375" defaultRowHeight="14.4" x14ac:dyDescent="0.3"/>
  <cols>
    <col min="1" max="1" width="77.5546875" style="3" customWidth="1"/>
    <col min="2" max="2" width="11" style="3" customWidth="1"/>
    <col min="3" max="5" width="12" style="3" customWidth="1"/>
    <col min="6" max="16384" width="8.77734375" style="3"/>
  </cols>
  <sheetData>
    <row r="1" spans="1:5" s="17" customFormat="1" x14ac:dyDescent="0.3">
      <c r="A1" s="18" t="s">
        <v>43</v>
      </c>
      <c r="B1" s="18" t="s">
        <v>39</v>
      </c>
      <c r="C1" s="18" t="s">
        <v>40</v>
      </c>
      <c r="D1" s="18" t="s">
        <v>41</v>
      </c>
      <c r="E1" s="18" t="s">
        <v>42</v>
      </c>
    </row>
    <row r="2" spans="1:5" s="17" customFormat="1" x14ac:dyDescent="0.3">
      <c r="A2" s="19" t="s">
        <v>46</v>
      </c>
      <c r="B2" s="20"/>
      <c r="C2" s="20">
        <v>44000</v>
      </c>
      <c r="D2" s="20">
        <v>66000</v>
      </c>
      <c r="E2" s="20">
        <v>110000</v>
      </c>
    </row>
    <row r="3" spans="1:5" s="17" customFormat="1" x14ac:dyDescent="0.3">
      <c r="A3" s="19" t="s">
        <v>47</v>
      </c>
      <c r="B3" s="20"/>
      <c r="C3" s="20"/>
      <c r="D3" s="20">
        <v>59589.81</v>
      </c>
      <c r="E3" s="20">
        <v>59589.81</v>
      </c>
    </row>
    <row r="4" spans="1:5" s="17" customFormat="1" x14ac:dyDescent="0.3">
      <c r="A4" s="19" t="s">
        <v>48</v>
      </c>
      <c r="B4" s="20"/>
      <c r="C4" s="20"/>
      <c r="D4" s="20">
        <v>95000</v>
      </c>
      <c r="E4" s="20">
        <v>95000</v>
      </c>
    </row>
    <row r="5" spans="1:5" s="17" customFormat="1" x14ac:dyDescent="0.3">
      <c r="A5" s="19" t="s">
        <v>49</v>
      </c>
      <c r="B5" s="20"/>
      <c r="C5" s="20">
        <v>66938</v>
      </c>
      <c r="D5" s="20">
        <v>95000</v>
      </c>
      <c r="E5" s="20">
        <v>161938</v>
      </c>
    </row>
    <row r="6" spans="1:5" s="14" customFormat="1" x14ac:dyDescent="0.3">
      <c r="A6" s="19" t="s">
        <v>50</v>
      </c>
      <c r="B6" s="20">
        <v>7457.57</v>
      </c>
      <c r="C6" s="20"/>
      <c r="D6" s="20"/>
      <c r="E6" s="20">
        <v>7457.57</v>
      </c>
    </row>
    <row r="7" spans="1:5" s="14" customFormat="1" x14ac:dyDescent="0.3">
      <c r="A7" s="19" t="s">
        <v>51</v>
      </c>
      <c r="B7" s="20"/>
      <c r="C7" s="20">
        <v>55488.36</v>
      </c>
      <c r="D7" s="20">
        <v>66779.899999999994</v>
      </c>
      <c r="E7" s="20">
        <v>122268.26</v>
      </c>
    </row>
    <row r="8" spans="1:5" x14ac:dyDescent="0.3">
      <c r="A8" s="19" t="s">
        <v>52</v>
      </c>
      <c r="B8" s="20">
        <v>14140</v>
      </c>
      <c r="C8" s="20">
        <v>105636.23</v>
      </c>
      <c r="D8" s="20">
        <v>135862.39999999999</v>
      </c>
      <c r="E8" s="20">
        <v>255638.63</v>
      </c>
    </row>
    <row r="9" spans="1:5" x14ac:dyDescent="0.3">
      <c r="A9" s="19" t="s">
        <v>53</v>
      </c>
      <c r="B9" s="20"/>
      <c r="C9" s="20">
        <v>145724.79999999999</v>
      </c>
      <c r="D9" s="20">
        <v>145724.79999999999</v>
      </c>
      <c r="E9" s="20">
        <v>291449.59999999998</v>
      </c>
    </row>
    <row r="10" spans="1:5" x14ac:dyDescent="0.3">
      <c r="A10" s="19" t="s">
        <v>54</v>
      </c>
      <c r="B10" s="20"/>
      <c r="C10" s="20"/>
      <c r="D10" s="20">
        <v>92707.6</v>
      </c>
      <c r="E10" s="20">
        <v>92707.6</v>
      </c>
    </row>
    <row r="11" spans="1:5" x14ac:dyDescent="0.3">
      <c r="A11" s="19" t="s">
        <v>55</v>
      </c>
      <c r="B11" s="20">
        <v>115000</v>
      </c>
      <c r="C11" s="20">
        <v>30465</v>
      </c>
      <c r="D11" s="20">
        <v>70700</v>
      </c>
      <c r="E11" s="20">
        <v>216165</v>
      </c>
    </row>
    <row r="12" spans="1:5" x14ac:dyDescent="0.3">
      <c r="A12" s="19" t="s">
        <v>56</v>
      </c>
      <c r="B12" s="20"/>
      <c r="C12" s="20"/>
      <c r="D12" s="20">
        <v>564982</v>
      </c>
      <c r="E12" s="20">
        <v>564982</v>
      </c>
    </row>
    <row r="13" spans="1:5" x14ac:dyDescent="0.3">
      <c r="A13" s="19" t="s">
        <v>57</v>
      </c>
      <c r="B13" s="20"/>
      <c r="C13" s="20">
        <v>36620</v>
      </c>
      <c r="D13" s="20">
        <v>58688</v>
      </c>
      <c r="E13" s="20">
        <v>95308</v>
      </c>
    </row>
    <row r="14" spans="1:5" x14ac:dyDescent="0.3">
      <c r="A14" s="19" t="s">
        <v>58</v>
      </c>
      <c r="B14" s="20">
        <v>59513</v>
      </c>
      <c r="C14" s="20">
        <v>58430.9</v>
      </c>
      <c r="D14" s="20">
        <v>71640</v>
      </c>
      <c r="E14" s="20">
        <v>189583.9</v>
      </c>
    </row>
    <row r="15" spans="1:5" x14ac:dyDescent="0.3">
      <c r="A15" s="21" t="s">
        <v>42</v>
      </c>
      <c r="B15" s="22">
        <v>196110.57</v>
      </c>
      <c r="C15" s="22">
        <v>543303.28999999992</v>
      </c>
      <c r="D15" s="22">
        <v>1522674.5099999998</v>
      </c>
      <c r="E15" s="22">
        <v>2262088.37</v>
      </c>
    </row>
    <row r="16" spans="1:5" s="15" customFormat="1" x14ac:dyDescent="0.3">
      <c r="A16" s="23"/>
      <c r="B16" s="24"/>
      <c r="C16" s="24"/>
      <c r="D16" s="24"/>
      <c r="E16" s="24"/>
    </row>
    <row r="17" spans="1:5" s="15" customFormat="1" x14ac:dyDescent="0.3">
      <c r="A17" s="23"/>
      <c r="B17" s="24"/>
      <c r="C17" s="24"/>
      <c r="D17" s="24"/>
      <c r="E17" s="24"/>
    </row>
    <row r="18" spans="1:5" s="15" customFormat="1" x14ac:dyDescent="0.3">
      <c r="A18" s="23"/>
      <c r="B18" s="24"/>
      <c r="C18" s="24"/>
      <c r="D18" s="24"/>
      <c r="E18" s="24"/>
    </row>
    <row r="19" spans="1:5" s="16" customFormat="1" ht="18.45" customHeight="1" x14ac:dyDescent="0.3">
      <c r="A19" s="10" t="s">
        <v>5</v>
      </c>
      <c r="B19" s="11">
        <f>COUNT(B2:B14)</f>
        <v>4</v>
      </c>
      <c r="C19" s="11">
        <f>COUNT(C2:C14)</f>
        <v>8</v>
      </c>
      <c r="D19" s="11">
        <f>COUNT(D2:D14)</f>
        <v>12</v>
      </c>
      <c r="E19" s="11">
        <f>COUNT(E2:E14)</f>
        <v>13</v>
      </c>
    </row>
    <row r="20" spans="1:5" s="16" customFormat="1" ht="18.45" customHeight="1" x14ac:dyDescent="0.3">
      <c r="A20" s="10" t="s">
        <v>35</v>
      </c>
      <c r="B20" s="11">
        <v>47</v>
      </c>
      <c r="C20" s="11">
        <v>54</v>
      </c>
      <c r="D20" s="11">
        <v>62</v>
      </c>
      <c r="E20" s="11"/>
    </row>
    <row r="21" spans="1:5" s="16" customFormat="1" x14ac:dyDescent="0.3">
      <c r="A21" s="10" t="s">
        <v>33</v>
      </c>
      <c r="B21" s="11"/>
      <c r="C21" s="11"/>
      <c r="D21" s="11"/>
      <c r="E21" s="12"/>
    </row>
    <row r="22" spans="1:5" s="16" customFormat="1" x14ac:dyDescent="0.3">
      <c r="A22" s="10" t="s">
        <v>34</v>
      </c>
      <c r="B22" s="11"/>
      <c r="C22" s="11"/>
      <c r="D22" s="11"/>
      <c r="E22" s="12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4" x14ac:dyDescent="0.3"/>
  <cols>
    <col min="1" max="10" width="20" customWidth="1"/>
  </cols>
  <sheetData>
    <row r="1" spans="1:10" ht="21" x14ac:dyDescent="0.4">
      <c r="A1" s="29" t="s">
        <v>7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x14ac:dyDescent="0.3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NDPL SALES</cp:lastModifiedBy>
  <cp:lastPrinted>2026-07-13T12:02:07Z</cp:lastPrinted>
  <dcterms:created xsi:type="dcterms:W3CDTF">2026-07-03T03:50:45Z</dcterms:created>
  <dcterms:modified xsi:type="dcterms:W3CDTF">2026-07-14T13:55:14Z</dcterms:modified>
</cp:coreProperties>
</file>